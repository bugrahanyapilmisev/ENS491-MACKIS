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showInkAnnotation="0"/>
  <mc:AlternateContent xmlns:mc="http://schemas.openxmlformats.org/markup-compatibility/2006">
    <mc:Choice Requires="x15">
      <x15ac:absPath xmlns:x15ac="http://schemas.microsoft.com/office/spreadsheetml/2010/11/ac" url="C:\Users\suuser\Desktop\"/>
    </mc:Choice>
  </mc:AlternateContent>
  <xr:revisionPtr revIDLastSave="0" documentId="8_{D3E4E7C3-66C0-419D-B4EA-9E5ED1AF3101}" xr6:coauthVersionLast="47" xr6:coauthVersionMax="47" xr10:uidLastSave="{00000000-0000-0000-0000-000000000000}"/>
  <bookViews>
    <workbookView xWindow="-108" yWindow="-108" windowWidth="23256" windowHeight="13896" tabRatio="692" xr2:uid="{00000000-000D-0000-FFFF-FFFF00000000}"/>
  </bookViews>
  <sheets>
    <sheet name="RİSK ANALİZİ DEĞERLENDİRME " sheetId="3" r:id="rId1"/>
    <sheet name="RİSK DEĞERLENDİRME METODOLOJİSİ" sheetId="5" r:id="rId2"/>
  </sheets>
  <definedNames>
    <definedName name="_xlnm._FilterDatabase" localSheetId="0" hidden="1">'RİSK ANALİZİ DEĞERLENDİRME '!$A$6:$V$86</definedName>
    <definedName name="_xlnm.Print_Titles" localSheetId="0">'RİSK ANALİZİ DEĞERLENDİRME '!$6:$6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86" i="3" l="1"/>
  <c r="H86" i="3"/>
  <c r="H19" i="3"/>
  <c r="R19" i="3"/>
  <c r="H85" i="3"/>
  <c r="R55" i="3" l="1"/>
  <c r="H55" i="3"/>
  <c r="R71" i="3" l="1"/>
  <c r="R70" i="3"/>
  <c r="H70" i="3"/>
  <c r="R69" i="3"/>
  <c r="H69" i="3"/>
  <c r="R68" i="3"/>
  <c r="H68" i="3"/>
  <c r="V67" i="3"/>
  <c r="R67" i="3"/>
  <c r="H67" i="3"/>
  <c r="R66" i="3"/>
  <c r="H66" i="3"/>
  <c r="R65" i="3"/>
  <c r="H65" i="3"/>
  <c r="R64" i="3"/>
  <c r="H64" i="3"/>
  <c r="V63" i="3"/>
  <c r="R63" i="3"/>
  <c r="H63" i="3"/>
  <c r="R30" i="3"/>
  <c r="H30" i="3"/>
  <c r="H40" i="3" l="1"/>
  <c r="R40" i="3"/>
  <c r="H41" i="3"/>
  <c r="R41" i="3"/>
  <c r="H42" i="3"/>
  <c r="R42" i="3"/>
  <c r="H43" i="3"/>
  <c r="R43" i="3"/>
  <c r="H44" i="3"/>
  <c r="R44" i="3"/>
  <c r="H45" i="3"/>
  <c r="R45" i="3"/>
  <c r="R60" i="3" l="1"/>
  <c r="R59" i="3"/>
  <c r="R58" i="3"/>
  <c r="R57" i="3"/>
  <c r="R56" i="3"/>
  <c r="R18" i="3"/>
  <c r="R17" i="3"/>
  <c r="R22" i="3"/>
  <c r="R23" i="3"/>
  <c r="R24" i="3"/>
  <c r="R25" i="3"/>
  <c r="H14" i="3"/>
  <c r="H15" i="3"/>
  <c r="R15" i="3" l="1"/>
  <c r="H56" i="3"/>
  <c r="R13" i="3" l="1"/>
  <c r="H13" i="3"/>
  <c r="H11" i="3"/>
  <c r="R85" i="3"/>
  <c r="V84" i="3"/>
  <c r="H84" i="3"/>
  <c r="H26" i="3"/>
  <c r="H25" i="3"/>
  <c r="H24" i="3"/>
  <c r="V22" i="3"/>
  <c r="H22" i="3"/>
  <c r="V21" i="3"/>
  <c r="R9" i="3" l="1"/>
  <c r="R10" i="3"/>
  <c r="R11" i="3"/>
  <c r="R12" i="3"/>
  <c r="R14" i="3"/>
  <c r="R16" i="3"/>
  <c r="R20" i="3"/>
  <c r="R21" i="3"/>
  <c r="R26" i="3"/>
  <c r="R27" i="3"/>
  <c r="R28" i="3"/>
  <c r="R29" i="3"/>
  <c r="R31" i="3"/>
  <c r="R32" i="3"/>
  <c r="R33" i="3"/>
  <c r="R34" i="3"/>
  <c r="R35" i="3"/>
  <c r="R36" i="3"/>
  <c r="R37" i="3"/>
  <c r="R38" i="3"/>
  <c r="R39" i="3"/>
  <c r="R46" i="3"/>
  <c r="R47" i="3"/>
  <c r="R48" i="3"/>
  <c r="R49" i="3"/>
  <c r="R50" i="3"/>
  <c r="R51" i="3"/>
  <c r="R52" i="3"/>
  <c r="R53" i="3"/>
  <c r="R54" i="3"/>
  <c r="R61" i="3"/>
  <c r="R62" i="3"/>
  <c r="R82" i="3"/>
  <c r="R83" i="3"/>
  <c r="R84" i="3"/>
  <c r="R8" i="3"/>
  <c r="R7" i="3"/>
  <c r="H83" i="3" l="1"/>
  <c r="H82" i="3"/>
  <c r="V49" i="3"/>
  <c r="H49" i="3"/>
  <c r="V51" i="3"/>
  <c r="H51" i="3"/>
  <c r="H53" i="3"/>
  <c r="H61" i="3" l="1"/>
  <c r="H57" i="3"/>
  <c r="H58" i="3"/>
  <c r="H59" i="3"/>
  <c r="H60" i="3"/>
  <c r="H62" i="3"/>
  <c r="H8" i="3" l="1"/>
  <c r="H33" i="3"/>
  <c r="V23" i="3" l="1"/>
  <c r="H21" i="3" l="1"/>
  <c r="H23" i="3"/>
  <c r="H29" i="3" l="1"/>
  <c r="H31" i="3" l="1"/>
  <c r="H32" i="3"/>
  <c r="H34" i="3"/>
  <c r="H35" i="3"/>
  <c r="H36" i="3"/>
  <c r="H37" i="3"/>
  <c r="H38" i="3"/>
  <c r="H39" i="3"/>
  <c r="H27" i="3"/>
  <c r="H28" i="3"/>
  <c r="H46" i="3"/>
  <c r="H47" i="3"/>
  <c r="H48" i="3"/>
  <c r="H50" i="3"/>
  <c r="H52" i="3"/>
  <c r="H54" i="3"/>
  <c r="H16" i="3"/>
  <c r="H17" i="3"/>
  <c r="H18" i="3"/>
  <c r="H10" i="3" l="1"/>
  <c r="H12" i="3"/>
  <c r="H20" i="3"/>
  <c r="H9" i="3" l="1"/>
  <c r="H7" i="3"/>
</calcChain>
</file>

<file path=xl/sharedStrings.xml><?xml version="1.0" encoding="utf-8"?>
<sst xmlns="http://schemas.openxmlformats.org/spreadsheetml/2006/main" count="1271" uniqueCount="575">
  <si>
    <t>Risk Tanımı</t>
  </si>
  <si>
    <t>Sorumlu</t>
  </si>
  <si>
    <t>Fırsat Etki Değeri</t>
  </si>
  <si>
    <t>OLASILIK TABLOSU</t>
  </si>
  <si>
    <t>Çok Düşük</t>
  </si>
  <si>
    <t>Hemen hemen hiç</t>
  </si>
  <si>
    <t xml:space="preserve">Çok düşük </t>
  </si>
  <si>
    <t>Hemen hemen hiç etkilemez.</t>
  </si>
  <si>
    <t xml:space="preserve">Düşük </t>
  </si>
  <si>
    <t>5 Yılda bir.</t>
  </si>
  <si>
    <t>Orta</t>
  </si>
  <si>
    <t xml:space="preserve">Yüksek </t>
  </si>
  <si>
    <t>Yılda bir.</t>
  </si>
  <si>
    <t xml:space="preserve">Çok Yüksek </t>
  </si>
  <si>
    <t>20-25</t>
  </si>
  <si>
    <t>12-19</t>
  </si>
  <si>
    <t>5-11</t>
  </si>
  <si>
    <t>1-4</t>
  </si>
  <si>
    <t>POZİTİF ETKİ TABLOSU</t>
  </si>
  <si>
    <t>6 ayda bir.</t>
  </si>
  <si>
    <t>Ayda bir.</t>
  </si>
  <si>
    <t>Olması Muhtemel</t>
  </si>
  <si>
    <t>Çok Muhtemel</t>
  </si>
  <si>
    <t>Etkisi düşüktür.</t>
  </si>
  <si>
    <t>Etkisi vardır ancak zamanla yitirilir.</t>
  </si>
  <si>
    <t>Etkilidir.</t>
  </si>
  <si>
    <t>Çok etkilidir.</t>
  </si>
  <si>
    <t>Geliştirilmelidir. Fırsattan maksimum fayda sağlayabilmek için olasılık ve etkisinin artırılmasına çalışılır.</t>
  </si>
  <si>
    <t>Takip edilmelidir. Fırsatın yaratması muhtemel faydalar takip edilerek geliştirilme olasılıkları değerlendirilmelidir.</t>
  </si>
  <si>
    <t>Alınacak Önlemler / Kontroller</t>
  </si>
  <si>
    <t>Kontrol Tarihi / Termin</t>
  </si>
  <si>
    <t xml:space="preserve">Açıklamalar </t>
  </si>
  <si>
    <t>Olasılık</t>
  </si>
  <si>
    <t>Pozitif Etki</t>
  </si>
  <si>
    <t>Etki</t>
  </si>
  <si>
    <t>Revizyon No</t>
  </si>
  <si>
    <t>EYS.PR11.FR01</t>
  </si>
  <si>
    <t>01</t>
  </si>
  <si>
    <t>Finansal</t>
  </si>
  <si>
    <t>Stratejik</t>
  </si>
  <si>
    <t>21-25</t>
  </si>
  <si>
    <t>13-20</t>
  </si>
  <si>
    <t>6-12</t>
  </si>
  <si>
    <t xml:space="preserve">Risk Değerlendirme Metodolojisi </t>
  </si>
  <si>
    <t>ETKİ DEĞERLENDİRME ÖLÇEĞİ</t>
  </si>
  <si>
    <t>Etki, bir risk olayından nasıl etkileyebileceğini belirtir.</t>
  </si>
  <si>
    <t xml:space="preserve">İki veya daha fazla kriterin olması gerekiyorsa verilen derecelendirme her zaman en fazla etkilenen derecedir (örneğin, bir ölçüt düşük olarak değerlendirilirse, bir tanesi orta düzeyde ise, o zaman risk için etki orta olur). </t>
  </si>
  <si>
    <t xml:space="preserve">1. Çok Düşük </t>
  </si>
  <si>
    <t>2. Düşük</t>
  </si>
  <si>
    <t>3. Orta</t>
  </si>
  <si>
    <t>4. Yüksek</t>
  </si>
  <si>
    <t>5. Çok Yüksek</t>
  </si>
  <si>
    <t>Stratejik planın amaçlarına ulaşmada gecikme</t>
  </si>
  <si>
    <t>Stratejik planın kısmen sorgulanması</t>
  </si>
  <si>
    <t>Stratejik planın tamamen sorgulanması</t>
  </si>
  <si>
    <t>Stratejik planın uygulanamaz olması</t>
  </si>
  <si>
    <t xml:space="preserve">Operasyon </t>
  </si>
  <si>
    <t xml:space="preserve">Hizmet seviyelerindeki küçük düşüş, mali ceza olmaması
Süreç performans hedeflerinin  geç gerçekleşmesi, personel ve iş performansında düşüş
</t>
  </si>
  <si>
    <t>Kısa süreli iş kesintisi; çok önemli mali cezalar
Süreç performans hedeflerinin gerçekleşmemesi /  bazı hizmetlerin verilememesi</t>
  </si>
  <si>
    <t>İş kesintisi, maksimum mali cezalar</t>
  </si>
  <si>
    <t xml:space="preserve">Anlaşmazlık / mevzuatlara, sözleşmelere, standartlara yasal süreç gerektirmeyen küçük uyumsuzluk </t>
  </si>
  <si>
    <t>Anlaşmazlık / mevzuatlara, sözleşmelere, standartlara yasal süreç gerektirmeyen birden fazla küçük uyumsuzluklar</t>
  </si>
  <si>
    <t>Anlaşmazlığın hukuksal sürece girmesi, mevzuatlara, sözleşmelere, standartlara büyük uyumsuzluk</t>
  </si>
  <si>
    <t>Mevzuatlara, sözleşmelere, standartlara büyük oranda uyulmaması, yasal işlemler, cezalar, tazminat</t>
  </si>
  <si>
    <t xml:space="preserve">Mevzuatlara, sözleşmelere, standartlara hiç uyulmaması, yasal işlemler, cezalar, tazminat, hapis, yasaklama </t>
  </si>
  <si>
    <t>OLASILIK DEĞERLENDİRME ÖLÇEĞİ</t>
  </si>
  <si>
    <t>Olasılık, belirli bir olayın meydana gelme ihtimalini temsil eder.</t>
  </si>
  <si>
    <t xml:space="preserve">2. Düşük </t>
  </si>
  <si>
    <t xml:space="preserve">4. Yüksek </t>
  </si>
  <si>
    <t xml:space="preserve">5. Çok Yüksek </t>
  </si>
  <si>
    <t>5 yılda bir kere</t>
  </si>
  <si>
    <t>3 yılda bir kere</t>
  </si>
  <si>
    <t>Her 3 yılda birkaç kere</t>
  </si>
  <si>
    <t>Her yıl</t>
  </si>
  <si>
    <t>Her yıl birkaç kere</t>
  </si>
  <si>
    <t>&lt; %10 olma şansı</t>
  </si>
  <si>
    <t>%10 ila %30 arasında olma şansı</t>
  </si>
  <si>
    <t>%30 ila %60 arasında olma şansı</t>
  </si>
  <si>
    <t>%60 ila %80 arasında olma şansı</t>
  </si>
  <si>
    <t>%80 den büyük olma şansı</t>
  </si>
  <si>
    <t>RİSK DEĞERİ</t>
  </si>
  <si>
    <t>RİSK SEVİYESİ</t>
  </si>
  <si>
    <t xml:space="preserve">AKSİYON </t>
  </si>
  <si>
    <t>1-2</t>
  </si>
  <si>
    <t>Önemsiz Risk</t>
  </si>
  <si>
    <t xml:space="preserve">Faaliyetleri  önemli  derecede  engelleyecek  veya etkileyebilecek herhangi bir olayın beklenmediği durumdur. 
Belirlenen riskleri ortadan kaldırmak için kontrol prosesleri planlamaya ve gerçekleştirilecek faaliyetlerin kayıtlarını saklamaya gerek olmayabilir. </t>
  </si>
  <si>
    <t>3-5</t>
  </si>
  <si>
    <t>Katlanılabilir Risk</t>
  </si>
  <si>
    <t xml:space="preserve">Belirlenen riskleri ortadan kaldırmak için ilave kontrol proseslerine ihtiyaç olmayabilir. 
Ancak mevcut kontroller sürdürülmeli ve bu kontrollerin sürdürüldüğü denetlenmelidir. </t>
  </si>
  <si>
    <t>Orta Düzeyde Risk</t>
  </si>
  <si>
    <t xml:space="preserve">Olağan faaliyetleri önemli derecede engelleyecek veya  etkileyebilecek olayların  mevcut olması, oluşması ihtimali vardır. 
Belirlenen riskleri düşürmek için planlı faaliyetler başlatılmalıdır. </t>
  </si>
  <si>
    <t>Önemli Risk</t>
  </si>
  <si>
    <t>Katlanılmaz Risk</t>
  </si>
  <si>
    <t>Hizmet seviyelerindeki önemli düşüş; önemli mali cezalar
Süreç performans hedeflerinin  geç gerçekleşmesi /  hizmetlerden memnuniyetsizlik, personel kaynaklı büyük hatalar</t>
  </si>
  <si>
    <t xml:space="preserve">Ayakta tıbbi tedavi gerekmesi
Paydaş ilişiklerinin zarar görmesi, risk altındaki ilişki, algı ve  itibar </t>
  </si>
  <si>
    <t xml:space="preserve">Ölüm/Ölümler
Algı ve  itibarın tamamen kaybı </t>
  </si>
  <si>
    <t xml:space="preserve">Yatarak tıbbi tedavi gerekmesi 
Paydaş ilişiklerinin zarar görmesi, önemli ölçüde risk altındaki ilişki, algı ve  itibar </t>
  </si>
  <si>
    <t>Sıklık / Olasılık</t>
  </si>
  <si>
    <t>Hizmet seviyelerindeki orta düzey düşüş, küçük mali cezalar
Süreç performans hedeflerinin  geç gerçekleşmesi / bazı hizmetlerden memnuniyetsizlik, personel kaynaklı küçük hatalar</t>
  </si>
  <si>
    <t xml:space="preserve">Uzuv kaybı, daimi maluliyet
Paydaş ilişiklerinin zarar görmesi, ilişki, algı ve  itibar kaybı </t>
  </si>
  <si>
    <t>Yasal uyum /uygunluk</t>
  </si>
  <si>
    <t>Paydaş İlişikleri &amp; algı ve itibar</t>
  </si>
  <si>
    <t xml:space="preserve">Belirlenen risk kabul edilebilir bir seviyeye düşürülünceye kadar iş başlatılmamalı eğer devam eden bir faaliyet varsa derhal durdurulmalıdır. Gerçekleştirilen faaliyetlere rağmen riski düşürmek mümkün olmuyorsa, faaliyet engellenmelidir. </t>
  </si>
  <si>
    <t xml:space="preserve">Olağan faaliyetleri  belirgin  bir   biçimde engelleyen, buna  sebep  olacak bir olayın tespit edilme durumlarıdır. 
Risk işin devam etmesi ile ilgiliyse acil önlem alınmalıdır. </t>
  </si>
  <si>
    <t>RİSK SKORU DEĞERLENDİRME FAKTÖRÜ</t>
  </si>
  <si>
    <t>FIRSAT DEĞERLENDİRME FAKTÖRÜ</t>
  </si>
  <si>
    <t>FIRSAT ETKİ DEĞERİ DEĞERLENDİRME FAKTÖRÜ</t>
  </si>
  <si>
    <t>İlgili Süreç</t>
  </si>
  <si>
    <t>Birim</t>
  </si>
  <si>
    <t>GENEL</t>
  </si>
  <si>
    <t>Yasa ve Mevzuatlara Uyum</t>
  </si>
  <si>
    <t>Yasa ve mevzuatlara uyumsuzluk</t>
  </si>
  <si>
    <t xml:space="preserve">GENEL </t>
  </si>
  <si>
    <t>Etik İlkeler ve Kurallara Uyumsuzluk</t>
  </si>
  <si>
    <t xml:space="preserve"> GENEL </t>
  </si>
  <si>
    <t>Bütçe Uyumu</t>
  </si>
  <si>
    <t>Kriz Yönetimi</t>
  </si>
  <si>
    <t>Resmi Kurum Bildirimleri</t>
  </si>
  <si>
    <t>Resmi kurumlara yapılması gereken tarihli/zorunlu bildirimelerde termin sürelerine uyulmaması</t>
  </si>
  <si>
    <t>Bilgilerin kaybolması, ifşası, güncel olmaması</t>
  </si>
  <si>
    <t>İK</t>
  </si>
  <si>
    <t>YÖK Mevzuatına Uyum</t>
  </si>
  <si>
    <t xml:space="preserve">Akademik atamalar ile ilgili YÖK mevzuatına uyumsuzluk </t>
  </si>
  <si>
    <t>Kritik Pozisyon Yönetimi</t>
  </si>
  <si>
    <t>Performans Yönetiminin Etkinliği</t>
  </si>
  <si>
    <t>PKİ</t>
  </si>
  <si>
    <t xml:space="preserve">Değişikliğin Öğrenci Tercihlerine Etkisi </t>
  </si>
  <si>
    <t>Teklif Alma</t>
  </si>
  <si>
    <t>Hizmette kesinti ve kalitesizlik</t>
  </si>
  <si>
    <t>Dış Kaynaklı Hizmetler</t>
  </si>
  <si>
    <t>Mİ</t>
  </si>
  <si>
    <t>Nakit Yönetimi</t>
  </si>
  <si>
    <t>Kaynak kullanım ilişkisinin dönemsel uyumsuzluğu</t>
  </si>
  <si>
    <t>Mali Acil Durum Planı</t>
  </si>
  <si>
    <t xml:space="preserve">Sigorta </t>
  </si>
  <si>
    <t>Sigorta kapsamının eksik veya fazla olması</t>
  </si>
  <si>
    <t>BM</t>
  </si>
  <si>
    <t xml:space="preserve">Koleksiyon Yönetimi </t>
  </si>
  <si>
    <t>Güncelliğinin takip edilmemesi</t>
  </si>
  <si>
    <t xml:space="preserve">Döviz riski </t>
  </si>
  <si>
    <t>Telif Hakkı ve Adil Kullanım</t>
  </si>
  <si>
    <t>Mevzuata ve süreçlere uyulmaması</t>
  </si>
  <si>
    <t xml:space="preserve">BM Yönetimi </t>
  </si>
  <si>
    <t>Sağlık Hizmeti</t>
  </si>
  <si>
    <t>Arıza ve Bakım Yönetimi</t>
  </si>
  <si>
    <t>Öğrenci Yurtları</t>
  </si>
  <si>
    <t>BT</t>
  </si>
  <si>
    <t xml:space="preserve">Kullanıcı Yönetimi </t>
  </si>
  <si>
    <t>Bilgi Güvenliği Olay Yönetimi</t>
  </si>
  <si>
    <t xml:space="preserve">Olay yönetiminde hatalar ve eksiklik olması  </t>
  </si>
  <si>
    <t>Hizmet Sürekliliği</t>
  </si>
  <si>
    <t>7X24 Hizmet sürekliliğinin kesintisi</t>
  </si>
  <si>
    <t>ÖK</t>
  </si>
  <si>
    <t xml:space="preserve">Mekan Tahsisi </t>
  </si>
  <si>
    <t>Ders Dışı Öğrenci Etkinliklerinin Planlaması</t>
  </si>
  <si>
    <t>Akademik Takvime Uyumsuzluk</t>
  </si>
  <si>
    <t>Alan ve Mekanlar</t>
  </si>
  <si>
    <t>Kiralık alan ve mekanların müsait/uygun /yeterli olmaması</t>
  </si>
  <si>
    <t>Mezunların Kişisel Bilgileri</t>
  </si>
  <si>
    <t xml:space="preserve">Staj Yönetimi </t>
  </si>
  <si>
    <t xml:space="preserve">Belgelerin askıya alınması, geri çekilmesi </t>
  </si>
  <si>
    <t>SU İlkeler ve Yönergeler</t>
  </si>
  <si>
    <t>S310 Bütçe Yönetimi</t>
  </si>
  <si>
    <t>S520 Pazarlama</t>
  </si>
  <si>
    <t>S420 İşe Alım</t>
  </si>
  <si>
    <t>S460 Performans Yönetimi</t>
  </si>
  <si>
    <t>S340 Finansman ve Muhasebe Yönetimi</t>
  </si>
  <si>
    <t>S320 Kurumsal Duran Varlık Yönetimi</t>
  </si>
  <si>
    <t>C820 Koleksiyon Oluşturma ve Organize Etme</t>
  </si>
  <si>
    <t>C810 Bilgi Merkezinin Yönetilmesi Süreçleri</t>
  </si>
  <si>
    <t>C330 Sağlık Hizmetlerini Sağlama</t>
  </si>
  <si>
    <t>S230 Tesisleri ve Altyapıyı Yönetme</t>
  </si>
  <si>
    <t>S100 Bilgi Teknolojilerinin Yönetilmesi Süreçleri</t>
  </si>
  <si>
    <t>C610 Mekan Tahsislerini Yönetme</t>
  </si>
  <si>
    <t>C600 Ders Dışı Etkinliklerin Koordine Edilmesi Süreçleri</t>
  </si>
  <si>
    <t>C200 Öğrenci Bilgilerinin Yönetilmesi Süreçleri</t>
  </si>
  <si>
    <t>S910 Kaynak Geliştirme Yönetimi</t>
  </si>
  <si>
    <t>C720 Mezunlarla İlişkileri Koordine Etme</t>
  </si>
  <si>
    <t>C710 Kariyer Geliştirmeyi Koordine Etme</t>
  </si>
  <si>
    <t>S620 Entegre Yönetim Sistemi Süreçleri</t>
  </si>
  <si>
    <t xml:space="preserve">Fırsatlar </t>
  </si>
  <si>
    <t>Maddi kayıp ve iş kesintisi yaşanmaz, itibar artar.</t>
  </si>
  <si>
    <t>-</t>
  </si>
  <si>
    <t>Ekipman ve Malzeme Yönetimi</t>
  </si>
  <si>
    <t>Mekanların talepleri karşılayacak yeterlilikte olmaması</t>
  </si>
  <si>
    <t>C600 Ders Dışı Etkinliklerin Koordine Edilmesi Süreçleri ile yönetilmektedir.</t>
  </si>
  <si>
    <t>ÖK süreçleri kapsamındaki işlemlerde, Akademik Takvimde ilan edilen tarihlere uyulamaması</t>
  </si>
  <si>
    <t>C200 Öğrenci Bilgilerinin Yönetilmesi Süreçleri ile yönetilmektedir.</t>
  </si>
  <si>
    <t>Paydaş memnuniyeti ve iş verimliliğinin artması</t>
  </si>
  <si>
    <t>Üniversitemizin geleceği ve marka sürdürülebilirliği açısından çok etkin bir değerdir. Fırsatı kaybetmemek ve iyi değerlendirmek için olağan üstü bir gayret gösterilir.</t>
  </si>
  <si>
    <t>Yoksayılabilir. Her fırsat üniversitemizin menfaatlerine uygun olmayabilir.</t>
  </si>
  <si>
    <t>C820 Koleksiyon Oluşturma ve Organize Etme Süreci ile risk yönetilmeye devam edecektir.</t>
  </si>
  <si>
    <t>C820 Koleksiyon Oluşturma ve Organize Etme Süreci ile risk yönetilmeye devam edecektir. Ayrıca kullanıcıların farkındalık düzeylerinin artırılmasına yönelik çalışmalar planlanacaktır.</t>
  </si>
  <si>
    <t>S340 Finansman ve Muhasebe Yönetimi Süreci ile risk yönetilmektedir.</t>
  </si>
  <si>
    <t>Marka algısının korunması ve yükselmesi</t>
  </si>
  <si>
    <t>Tüm Birimler</t>
  </si>
  <si>
    <t>S310 Bütçe Yönetimi Süreciyle risk yönetilmektedir.</t>
  </si>
  <si>
    <t>Riskin iyi yönetilmesi sonucu algı ve itibar artacaktır.</t>
  </si>
  <si>
    <t>S410 Kadro Planlama</t>
  </si>
  <si>
    <t>YÖK mevzuatı ve S420 İşe Alım Sürecinde belirtildiği şekilde risk yönetilmeye devam edecektir.</t>
  </si>
  <si>
    <t>S930 Lise Yaz Okulu</t>
  </si>
  <si>
    <t xml:space="preserve">Sürecin doğru ve etkin yönetimi ile burs fonuna katkı sağlanması, üniversitenin lisans öğrencisi olarak  tercih edilmesi, itibar ve  markalaşmada artış </t>
  </si>
  <si>
    <t xml:space="preserve">Stratejik plan hedeflerinin başarısız olması </t>
  </si>
  <si>
    <t xml:space="preserve">Yaralanmama ya da hafif yaralanma
Telafi edilebilecek algı ve itibar hasarı </t>
  </si>
  <si>
    <t>Satınalma Yönetimi</t>
  </si>
  <si>
    <t>Tahsilat Yönetimi</t>
  </si>
  <si>
    <t>Kontrol Sıklığı</t>
  </si>
  <si>
    <t>Kontrol Şekli</t>
  </si>
  <si>
    <t>Kontrol Türü</t>
  </si>
  <si>
    <t>Tespit Edici
Önleyici
Yönlendirici</t>
  </si>
  <si>
    <t xml:space="preserve">Varlık Yönetimi </t>
  </si>
  <si>
    <t>Kontrol Kayıtları</t>
  </si>
  <si>
    <t xml:space="preserve">Risk Grubu </t>
  </si>
  <si>
    <t>SAO</t>
  </si>
  <si>
    <t>Operasyon</t>
  </si>
  <si>
    <t xml:space="preserve">Sosyal, ekonomik, coğrafi şartlar ya da toplumsal  konjektürdeki kontrol dışı değişimlerin etkinliklerin oluşturulmasına ve gerçekleştirilmesine olumsuz etkisi </t>
  </si>
  <si>
    <t>Paydaş İlişkileri &amp; algı ve itibar</t>
  </si>
  <si>
    <t>HİZ</t>
  </si>
  <si>
    <t>KİMİ</t>
  </si>
  <si>
    <t>Aylık</t>
  </si>
  <si>
    <t>Sistemsel</t>
  </si>
  <si>
    <t>Önleyici</t>
  </si>
  <si>
    <t>6 ay da bir</t>
  </si>
  <si>
    <t>Tespit Edici</t>
  </si>
  <si>
    <t>SAP- Alacak Yaşlandırması</t>
  </si>
  <si>
    <t>Mali acil durum planının ve yedek fon kaynağı olmaması</t>
  </si>
  <si>
    <t>Çeyrekler</t>
  </si>
  <si>
    <t>Kapanış Kontrol</t>
  </si>
  <si>
    <t>Sigorta kapsamlarında yapılacak değişikliklerle üniversitemiz maddi kazanç sağlayacaktır.</t>
  </si>
  <si>
    <t>Aylık/Haftalık /Yıllık</t>
  </si>
  <si>
    <t>Manuel/
Sistemsel</t>
  </si>
  <si>
    <t>Dokümanlarda ve kullanılan yazılım ve sistemlerde yetki ve limitlerin hatalı taşınması</t>
  </si>
  <si>
    <t>Oldukça</t>
  </si>
  <si>
    <t>Manuel</t>
  </si>
  <si>
    <t>Yıllık</t>
  </si>
  <si>
    <t>Yönlendirici
Tespit Edici</t>
  </si>
  <si>
    <t>Sierra Kütüphane Otomasyon Sistemi - Yıllık Kitap Listesi</t>
  </si>
  <si>
    <t>SAP - Aylık Faaliyet Raporu</t>
  </si>
  <si>
    <t>Sistemsel
Manuel</t>
  </si>
  <si>
    <t>Sierra Kütüphane Otomasyon Sistemi</t>
  </si>
  <si>
    <t>Memnuniyet Anketi</t>
  </si>
  <si>
    <t>6 Aylık</t>
  </si>
  <si>
    <t>Yönlendirici</t>
  </si>
  <si>
    <t>Yasa ve Mevzuatlara Uyum/ SÜ ilke ve yönetmeliklerinde tanımlı olan yetki ve limitlere uyumsuzluk</t>
  </si>
  <si>
    <t>Yan Haklar Yönetimi</t>
  </si>
  <si>
    <t>Yan hakların pozisyon bazlı hatalı tanımlanması</t>
  </si>
  <si>
    <t>Özlük Yönetimi</t>
  </si>
  <si>
    <t>Atama Yükseltme Kontrol Listesi</t>
  </si>
  <si>
    <t>Kritik pozisyon yönetimi çıktılarının güncel olmaması ve kayıt altına alınmaması</t>
  </si>
  <si>
    <t>Kritik pozisyon takibini üst düzey yapılması ve süreklilik sağlanması çalışan performansı ve verimini artırarak stratejik hedeflerin gerçekleştirilmesine destek olur.</t>
  </si>
  <si>
    <t>Kritik Pozisyon Değerlendirme Tablosu</t>
  </si>
  <si>
    <t xml:space="preserve">Online Performans Yönetim Sistemi </t>
  </si>
  <si>
    <t>Çalışan performansı ve verimini artırarak stratejik hedeflerin gerçekleştirilmesine destek olur.</t>
  </si>
  <si>
    <t>Kişi bilgilerinin SAP'ye eksik/geç/hatalı taşınması</t>
  </si>
  <si>
    <t>S470 Ücretlendirme ve Yararlar</t>
  </si>
  <si>
    <t>Stratejik hedefleri destekleyen eğitim planının oluşturulmaması</t>
  </si>
  <si>
    <t>Eğitim içeriklerinin ve kayıtlarının tutulmama veya eksik olma riski</t>
  </si>
  <si>
    <t>Yedekleme Yönetimi</t>
  </si>
  <si>
    <t>Eğitim- Gelişim</t>
  </si>
  <si>
    <t>Yetki Tanımları</t>
  </si>
  <si>
    <t>Kişisel veri envanteri hazırlığının olmaması</t>
  </si>
  <si>
    <t>S130 Bilgi Teknolojileri İşletimini Yönetme Süreci</t>
  </si>
  <si>
    <t>Kişisel Veri Envanter Listesi</t>
  </si>
  <si>
    <t>Varlık Sınıflandırma Listesi</t>
  </si>
  <si>
    <t>Günlük</t>
  </si>
  <si>
    <t>Log kayıtları</t>
  </si>
  <si>
    <t>Sürekli</t>
  </si>
  <si>
    <t>S130 Bilgi Teknolojileri İşletimini Yönetme Süreci ile yönetilmektedir.</t>
  </si>
  <si>
    <t>Disaster Recovery  - Afetle Mücadele Planı / Yedek Server Hizmet Alanı vb. acil durum kriz yönetimi planının etkin yönetilememesi</t>
  </si>
  <si>
    <t xml:space="preserve">Potansiyel maddi kazanç, iş verimliliği </t>
  </si>
  <si>
    <t>Etik ilkeler, davranış ve kurallara uyulmaması, bu durumun yönetilememesi</t>
  </si>
  <si>
    <t>Temizlik Yönetimi</t>
  </si>
  <si>
    <t>Belirlenen Temizlik Planına uyumsuzluk (günlük, haftalık vb.)</t>
  </si>
  <si>
    <t>Ulaşım Yönetimi</t>
  </si>
  <si>
    <t>Yiyecek Yönetimi</t>
  </si>
  <si>
    <t>Alerjen ürün içeren besinlerde uyarı/açıklama yapmama riski</t>
  </si>
  <si>
    <t>Güvenlik</t>
  </si>
  <si>
    <t>C910 Barınma Hizmetlerinin Yönetimi</t>
  </si>
  <si>
    <t>C940 Güvenlik Hizmetlerini Yönetme</t>
  </si>
  <si>
    <t>Güz, Bahar, Yaz Dönemi</t>
  </si>
  <si>
    <t>Hizmet süreklilik planının olmaması</t>
  </si>
  <si>
    <t>C950 Haberleşme Hizmetleri</t>
  </si>
  <si>
    <t>Haberleşme</t>
  </si>
  <si>
    <t>Potansiyel veri kaybının önlenmesi</t>
  </si>
  <si>
    <t>Giden evrak/kargo suistimali riski (kurum ödemeli kişisel kargo gönderiminin yapılması)</t>
  </si>
  <si>
    <t>Aylık Gönderi Raporu</t>
  </si>
  <si>
    <t>Potansiyal maddi kaybın önlenmesi</t>
  </si>
  <si>
    <t>C960 Yiyecek Hizmetlerini Sağlama</t>
  </si>
  <si>
    <t>Gıda zehirlenmesi riski, random son ürün kontrollerinin (analize gönderim) yapılmama riski</t>
  </si>
  <si>
    <t>Yiyecek Hizmetleri</t>
  </si>
  <si>
    <t>Her gün
/Her ay</t>
  </si>
  <si>
    <t>Paydaş memnuniyeti</t>
  </si>
  <si>
    <t>Allerjen madde içerikleri etiketlemelerinin eksiksiz yapılması</t>
  </si>
  <si>
    <t>Her gün</t>
  </si>
  <si>
    <t>Ürün ve uyarı açıklamaları</t>
  </si>
  <si>
    <t>Takip çizelgesinin düzenli olarak doldurulması</t>
  </si>
  <si>
    <t>Periyodik kontrollerin gerçekleştirilmesi</t>
  </si>
  <si>
    <t>Haftalık</t>
  </si>
  <si>
    <t>Kontrol takip çizelgesi</t>
  </si>
  <si>
    <t>Her hafta</t>
  </si>
  <si>
    <t>Yeme içme faaliyeti gösteren firma ve kiracıların yemek hizmetinin SÜ ve hizmet sözleşmesindeki kriterlere uyumsuz yönetimi riski</t>
  </si>
  <si>
    <t>Aylık firma denetimlerinin gerçekleştirilmesi</t>
  </si>
  <si>
    <t>Denetim raporları</t>
  </si>
  <si>
    <t>C930 Ulaşım Hizmetleri</t>
  </si>
  <si>
    <t>Ulaşım Hizmetleri</t>
  </si>
  <si>
    <t>Araç ve sürücü denetim raporları</t>
  </si>
  <si>
    <t>Her Gün</t>
  </si>
  <si>
    <t>Paydaş memnuniyeti, iş verimliliği, maliyetlerin azaltılması</t>
  </si>
  <si>
    <t>Kampüs içi trafik kurallarına uyumsuzluk</t>
  </si>
  <si>
    <t>Güvenlik Hizmetleri</t>
  </si>
  <si>
    <t>Devriyelerin düzenli olarak gerçekleştirilmesi, trafik kurallarına uymayanlara yaptırımlar cetvelinin düzenli olarak tutulması</t>
  </si>
  <si>
    <t>Manuel
/Sistemsel</t>
  </si>
  <si>
    <t>Önleyici
/Tespit Edici</t>
  </si>
  <si>
    <t>Trafik Kusuru Tespit Sistemi</t>
  </si>
  <si>
    <t>Hijyenin sağlananaması</t>
  </si>
  <si>
    <t>C920 Temizlik Hizmetlerini Sağlama</t>
  </si>
  <si>
    <t>Temizlik</t>
  </si>
  <si>
    <t>Temizlik aksiyon planının güncellenmesi</t>
  </si>
  <si>
    <t>Temizlik Planı</t>
  </si>
  <si>
    <t>Temizlik, portar ve bahçe personelinin düzenli evrak kontrolünün yapılmaması</t>
  </si>
  <si>
    <t>SU Form-Taşeron İşe Başlama ve İşten Ayrılma Formu</t>
  </si>
  <si>
    <t xml:space="preserve">Öğrenci, Çalışan, Tedarikçi, Taşeron vb. Bilgileri </t>
  </si>
  <si>
    <t>Oldukça
/Haftalık
/Aylık
/Yıllık</t>
  </si>
  <si>
    <t>Veri türüne göre birimler tarafından belirlenir.</t>
  </si>
  <si>
    <t>Öğrenci Bilgi Sistemi</t>
  </si>
  <si>
    <t>Bilgi Sistemleri
/Kontrol Formları</t>
  </si>
  <si>
    <t>Online eğitim faaliyetlerine yöneltilmesi</t>
  </si>
  <si>
    <t>Ders Dışı Etkinlik Toplantı Kayıtları</t>
  </si>
  <si>
    <t>Akademik Kurul Karar Tutanağı</t>
  </si>
  <si>
    <t>Online platformların etkinliğinin arttırılması, SÜ elektronik ortam görünürlüklerinin artması</t>
  </si>
  <si>
    <t xml:space="preserve">S510 Kurumsal İletişim </t>
  </si>
  <si>
    <t>Etkinlik Yönetimi</t>
  </si>
  <si>
    <t>Kurumsal kimlik kriterlerine uygunluğa ilişkin kontrol sisteminin etkin yürütülememesi</t>
  </si>
  <si>
    <t>Kurumsal Kimlik Yönetimi</t>
  </si>
  <si>
    <t>S210 İş Sağlığı ve Güvenliği Yönetim Sistemi, S220 Çevre Yönetim Sistemi</t>
  </si>
  <si>
    <t>Depo Yönetimi</t>
  </si>
  <si>
    <t>Mezun Veri Tabanı</t>
  </si>
  <si>
    <t>Erasmus Staj Takip Sistemi</t>
  </si>
  <si>
    <t>İş verimliliği</t>
  </si>
  <si>
    <t>Yeterli başvuru sayısına ulaşamamak</t>
  </si>
  <si>
    <t>Kontrol Tutanağı</t>
  </si>
  <si>
    <t>Alan/mekan uygunluklarının sistem üzerinden düzenli olarak takibi yapılacaktır.</t>
  </si>
  <si>
    <t>Room Schedule
/İlgili Birim</t>
  </si>
  <si>
    <t>Yıllık kaynak geliştirme hedefinin tutturulamaması</t>
  </si>
  <si>
    <t>Kaynak Geliştirme</t>
  </si>
  <si>
    <t>Gelir Tablosu</t>
  </si>
  <si>
    <t>YÖK Duyuruları</t>
  </si>
  <si>
    <t>Bütünleşik Etkinlik Takvimi</t>
  </si>
  <si>
    <t>Birimler arası sağlanan etkileşim ile zaman, ve maaliyet kayıplarının önlenmesi, iş verimliliğinin arttırılması
İzlenme oranlarının artması ile paydaş etkileşiminin artması</t>
  </si>
  <si>
    <t>Potansiyel maddi kayıpların önlenmesi</t>
  </si>
  <si>
    <t>Artık Risk Skoru</t>
  </si>
  <si>
    <t>Mevcut Olasılık</t>
  </si>
  <si>
    <t>Mevcut Risk Skoru</t>
  </si>
  <si>
    <t>Güvenli ve sağlıklı çalışma koşullarının  sağlanamaması</t>
  </si>
  <si>
    <t>İSG Risk Değerlendirmesi</t>
  </si>
  <si>
    <t>S810 Satın Alma</t>
  </si>
  <si>
    <t>Rekabetçi fiyat alamama, ekonomik fayda sağlanamayan tekliflerin kabul edilmesi</t>
  </si>
  <si>
    <t>Tespit edici</t>
  </si>
  <si>
    <t>Pratis. Net/SAT- SAS Raporu</t>
  </si>
  <si>
    <t>Potansiyal mali kayıpların önlenmesi</t>
  </si>
  <si>
    <t>Sözleşme, mail</t>
  </si>
  <si>
    <t>Hizmet firmasının değişikliğinin yeni bakış açısı ile yeni hizmet alanları geliştirilmesi, hizmete daha duyarlı tedarikçiler bulunması</t>
  </si>
  <si>
    <t xml:space="preserve"> S220 Çevre Yönetim Sistemi</t>
  </si>
  <si>
    <t>İş kazası</t>
  </si>
  <si>
    <t>Çevresel etki</t>
  </si>
  <si>
    <t>S210 İş Sağlığı ve Güvenliği Yönetim Sistemi</t>
  </si>
  <si>
    <t xml:space="preserve">Üniversitenin iş sağlığı ve güvenliği faaliyetlerindeki  risk değerlendimesi ile risk yönetilmektedir. </t>
  </si>
  <si>
    <t>Önleyici
Yönlendirici
Tespit</t>
  </si>
  <si>
    <t>Önleyici
Yönlendirici
Tespit edici</t>
  </si>
  <si>
    <t>Önleyici
Tespit edici</t>
  </si>
  <si>
    <t>İSG kurul toplantı tutanakları/Çevre değerlendirme raporu</t>
  </si>
  <si>
    <t>7x24 hizmet sürekliliğinde yaşanan kesintiler</t>
  </si>
  <si>
    <t>Günlük kontrol kaydı</t>
  </si>
  <si>
    <t>S230 Tesisleri ve Altyapıyı Yönetme Sürecinde tanımlı sistemler üzerinden yönetilmektedir.</t>
  </si>
  <si>
    <t>Günlük
Yıllık</t>
  </si>
  <si>
    <t>SAP-Çağrı kayıtları, Periyodik kontrol ve bakım planı</t>
  </si>
  <si>
    <t>Ekipman yaşlanması ve ekonomik ömrünü tamamlayan ekipmanın raporlanmaması</t>
  </si>
  <si>
    <t>Ekonomik ömrünü tamamlayan ekipman listesi</t>
  </si>
  <si>
    <t>Manuel
Sistemsel</t>
  </si>
  <si>
    <t>Tespit edici
Önleyici</t>
  </si>
  <si>
    <t>Kritik stok seviye takip raporu</t>
  </si>
  <si>
    <t>Yasaklı tedarikçi listesi</t>
  </si>
  <si>
    <t>GS</t>
  </si>
  <si>
    <t>Temel Eğitim ve Yüksek Öğrenim mevzuat değişikliklerine göre çalışmalar ve ilişkili süreç değişiklikleri takip  edilmeye devam edecektir.</t>
  </si>
  <si>
    <t>İş Kazası ve / veya Çevre Etkisi</t>
  </si>
  <si>
    <t>Standart gerekliliklerine uyum düzenli olarak kontrol edilmeye devam edecektir. Entegre Yönetim sistemi kapsamında faaliyetlere devam edilecektir.</t>
  </si>
  <si>
    <t>Kayıtların düzenli kontrolü sağlanacaktır.</t>
  </si>
  <si>
    <t>Entegre Yönetim Sistemi</t>
  </si>
  <si>
    <t>Gelen evrak/kargo tesliminde alıcı bilgilerinde ve tesliminde imza eksikliği ya da farklı kişiler tarafından teslim alınma riski</t>
  </si>
  <si>
    <t>Tespit Edici
Önleyici</t>
  </si>
  <si>
    <t>Harcamalarda bütçe aşımı ve/veya gelirlerde bütçe eksikliği</t>
  </si>
  <si>
    <t>Kriz yönetim akışı ve raporlama zincirinin etkin yönetilmemesi</t>
  </si>
  <si>
    <t>Kriz Yönetim Planı</t>
  </si>
  <si>
    <t>Cevap Verilmesi Gereken Resmi Evrak Listesi (Süreli Yazılar)</t>
  </si>
  <si>
    <t>Yeterli sayıda ve doğru personele doğru yetkinin verilmemesi</t>
  </si>
  <si>
    <t>Konaklama Hizmetleri</t>
  </si>
  <si>
    <t>Tespit durumunda yasal işlem ve tutanak takibi ve disiplin sürecininin işletilmesi</t>
  </si>
  <si>
    <t>Disiplin defteri kaydı</t>
  </si>
  <si>
    <t>Yurt yaşam düzeninin aksaması - disiplin sağlanmaması</t>
  </si>
  <si>
    <t>Tespit durumunda tutanak takibi ve disiplin sürecininin işletilmesi</t>
  </si>
  <si>
    <t>Ödeme takibinin yapılmaması</t>
  </si>
  <si>
    <t>ATS otomatik ve manuel takip süreci</t>
  </si>
  <si>
    <t>Günde 2 kere</t>
  </si>
  <si>
    <t>ATS raporu</t>
  </si>
  <si>
    <t>Akbank-Mali İşler Raporu</t>
  </si>
  <si>
    <t>Telefon/e-mail ile tehdit ve
ihbar</t>
  </si>
  <si>
    <t>Prosedürel tedbirler (FSER-C94001-24)</t>
  </si>
  <si>
    <t>Elektronik ortamda sözleşme talep ve onay süreci oluşturularak risk yönetilecektir.</t>
  </si>
  <si>
    <t>Suform-Mal ve Hizmet Alma formu</t>
  </si>
  <si>
    <t>Duran Varlık Yönetimi</t>
  </si>
  <si>
    <t>Alacak yaşlandırma raporunun olmaması, yönetilememesi</t>
  </si>
  <si>
    <t>Akademik yıl bütçesinde döviz kurlarındaki değişiklik değerlendirilerek koleksiyon bütçesi para birimi ve yöntemi değerlendirilecek.</t>
  </si>
  <si>
    <t xml:space="preserve">Varlıkların sınıflandırılmasının etkin yönetilmemesi </t>
  </si>
  <si>
    <t xml:space="preserve">
Bilgi Sistemleri Acil Durum Planı
</t>
  </si>
  <si>
    <t>Taşeron işe başlama ve işten ayrılma formunun düzenli olarak işletilmesi</t>
  </si>
  <si>
    <t>Kampüs güvenliği</t>
  </si>
  <si>
    <t>7x24 hizmet/kontrol sürekliliğinde eksiklik, kampüs güvenliğinin sağlanamaması</t>
  </si>
  <si>
    <t>Aylık
/2 Ayda 1</t>
  </si>
  <si>
    <t>Sistemsel
/Manuel</t>
  </si>
  <si>
    <t>Telefonla gelebilecek ihbar ve tehditler</t>
  </si>
  <si>
    <t>/Tespit Edici /Önleyici
/Yönlendirici</t>
  </si>
  <si>
    <t>Önleyici Yönlendirici</t>
  </si>
  <si>
    <t>Bomba İhbar Formu
/Olay Raporu</t>
  </si>
  <si>
    <t>S470 Ücretlendirme ve Yararlarda belirtildiği şekilde risk yönetilmeye devam edecektir</t>
  </si>
  <si>
    <t>SAP</t>
  </si>
  <si>
    <t>Eğitim Kayıt Listesi</t>
  </si>
  <si>
    <t>Eğitim bütçesinin daha efektif kullanılmasını sağlayabilir.</t>
  </si>
  <si>
    <t>S430 Eğitim ve Geliştirme</t>
  </si>
  <si>
    <t>İşe Alım</t>
  </si>
  <si>
    <t>S420 İşe Alım Sürecinde belirtildiği şekilde risk yönetilmeye devam edecektir.</t>
  </si>
  <si>
    <t>GoogleForms / 5. Ay Değerlendirme Formu</t>
  </si>
  <si>
    <t>İşe Alım Sonrasında 6. Ay</t>
  </si>
  <si>
    <t>HiZ</t>
  </si>
  <si>
    <t>Kaynakların verimli kullanılabilmesi adına teklif alımlarında S810 süreci doğrultusunda faaliyetler devam ettirilecektir.</t>
  </si>
  <si>
    <t>Mücbir Sebepler</t>
  </si>
  <si>
    <t>Mücbir sebeplere ilişkin kriz yönetimi planının etkin yönetilememesi ve iş sürekliliğinin sağlanamaması</t>
  </si>
  <si>
    <t>Kriz Yönetim Planı
/Acil Durum Planı</t>
  </si>
  <si>
    <t>Gelen-giden evrak takip listesi</t>
  </si>
  <si>
    <t>Belirlenen periyotlarda tavsiye edilen tüketim tarihi kontrolünün düzenli yapılmama riski</t>
  </si>
  <si>
    <t>Tavsiye edilen tüketim tarihi dolan ürün tespiti</t>
  </si>
  <si>
    <t>Genel</t>
  </si>
  <si>
    <t>Kontrol Sonrası Olasılık</t>
  </si>
  <si>
    <t>SAP-Aylık Faaliyet Raporu</t>
  </si>
  <si>
    <t>Maddi ve maddi olmayan duran varlıklar sürecinin uygulanmaması ve varlıkların sahipsizliği</t>
  </si>
  <si>
    <t xml:space="preserve">
Manuel
</t>
  </si>
  <si>
    <t>Soruşturma, tutanak, inceleme</t>
  </si>
  <si>
    <t>SAP-Aylık Bütçe Fiili Karşılaştırma Raporu</t>
  </si>
  <si>
    <t>Öğrencilerimizin uluslararası deneyiminin ve üniversitemizin uluslararası tanınırlılığının artması
Mezun işbirlikleri ve ilişkilerinin güçlenmesi</t>
  </si>
  <si>
    <t xml:space="preserve">Katılımcıların program kurallarına uymaması </t>
  </si>
  <si>
    <t>Posta ile gelen bildirim kayıtlarının yapılmaması</t>
  </si>
  <si>
    <t>Varlık sınıflandırma listesi ile risk yönetilmektedir.</t>
  </si>
  <si>
    <t xml:space="preserve">Bildirim </t>
  </si>
  <si>
    <t>Anlık</t>
  </si>
  <si>
    <t>PKİ Talep Formu</t>
  </si>
  <si>
    <t>Etkin duran varlık yönetimi ve sahiplendirilmesi ile risk yönetilmektedir.</t>
  </si>
  <si>
    <t>Alacak yaşlandırması ile yönetilmektedir.</t>
  </si>
  <si>
    <t>Bütçe yılı sonunda Mütevelli Heyetinin kararı ile  planlanma yapılmaktadır.</t>
  </si>
  <si>
    <t>Risk analizi ve sigortalama sürecinin duran varlık yönetimi süreci ile ilişkilendirilerek risk yönetilmektedir.</t>
  </si>
  <si>
    <t>S910 Kaynak Geliştirme Yönetimi sürecine göre risk yönetilmektedir.</t>
  </si>
  <si>
    <t>S930 Lise Yaz Okulu sürecinde yapılan tanımlamaya göre risk yönetilmektedir.</t>
  </si>
  <si>
    <t>İlgili Dönem</t>
  </si>
  <si>
    <t>Fon alınan yerlerin bilgilendirme toplantıları düzenli olarak takip edilmektedir. Öğrenci evraklarının sistem üzerinden takibi sağlanmaktadır.</t>
  </si>
  <si>
    <t xml:space="preserve">KVK Kanunu gereğince eski mezunların kişisel verilerini özel amaçla kullanmak için kendilerinden yazılı rıza alınması; yeni mezunların aynı şekilde ilişik kesme sırasında yazılı rıza alınması için gerekli işlemler yapılmaktadır. </t>
  </si>
  <si>
    <t>Sözleşmedeki ticari şartların SÜ lehine düzenlenmemesi</t>
  </si>
  <si>
    <t>Ekonomik ömrünü tamamladığı düşünülen malzemeler bütçe için raporlanmaktadır.</t>
  </si>
  <si>
    <t>Düzenli depo sayımları yapılmaktadır.</t>
  </si>
  <si>
    <t>Satınalma süreci kapsamında risk yönetilmektedir.</t>
  </si>
  <si>
    <t>Yasaklı madde kullanımı</t>
  </si>
  <si>
    <t>Taşeron firma tarafından farklı sürücülerin görevlendirilmesi</t>
  </si>
  <si>
    <t xml:space="preserve">Shuttle taleplerini karşılayamama </t>
  </si>
  <si>
    <t>Manuel takip ile kontrol yapılmaktadır.</t>
  </si>
  <si>
    <t>Puanlı denetimlerin gerçekleştirilmesi</t>
  </si>
  <si>
    <t>Aylık / 2 Aylık Denetim Puanı</t>
  </si>
  <si>
    <r>
      <t>Evrak rutin kontrollerin</t>
    </r>
    <r>
      <rPr>
        <sz val="11"/>
        <color theme="1"/>
        <rFont val="Calibri"/>
        <family val="2"/>
        <charset val="162"/>
        <scheme val="minor"/>
      </rPr>
      <t xml:space="preserve"> yapılması ve 6 aylık denetimlerin yapılması</t>
    </r>
  </si>
  <si>
    <t>SUTicket ve e-mail</t>
  </si>
  <si>
    <t>Yasal şartlara uyumun süreklilik göstermesi SÜ itibarının korunması sağlanacaktır.</t>
  </si>
  <si>
    <t>Etik İlke ve kurallara uyulması SÜ itibarının korunması sağlanacaktır.</t>
  </si>
  <si>
    <t>Kriz yönetimi kapsamının  ve iç iletişim yönteminin belirlenmesi ve ilgili süreçlerin oluşturulması planlanmaktadır.</t>
  </si>
  <si>
    <t>Cevap verilmesi gereken resmi evraklar ve termin süreleri liste halinde tutalarak ilgili birimlerin bilgilendirilmesine devam edilecektir.</t>
  </si>
  <si>
    <t>Kişisel Verilerin Korunması Kanunu hükümlerine göre tüm birimler süreçleri doğrultusunda risk yönetilmeye devam edilecektir.</t>
  </si>
  <si>
    <t>SÜ İlkeler ve Yönergeler'de belirtilen süreçler kapsamında risk yönetilecektir.</t>
  </si>
  <si>
    <t>SÜ İlkeler ve Yönergeler</t>
  </si>
  <si>
    <t>Yaz okulu</t>
  </si>
  <si>
    <t>Lise Yaz Başvuru Özet Raporu</t>
  </si>
  <si>
    <t>Staratejik</t>
  </si>
  <si>
    <t>Sistemsel / Manuel</t>
  </si>
  <si>
    <t xml:space="preserve">Site 24*7 toolu üzerinden sürekli izlenmektedir. </t>
  </si>
  <si>
    <t>Mevcut durumda C940 sürecine göre hareket edilecektir.
Öğrencilerin mySUdaki bilgileri taranarak, adres doğrulaması yapılmaktadır.</t>
  </si>
  <si>
    <t>Yılda 3 kez /
Yılda 2 kez</t>
  </si>
  <si>
    <t>Banner/Report Sistemi
Adres Şüphelisi Listesi</t>
  </si>
  <si>
    <t xml:space="preserve">Önleyici </t>
  </si>
  <si>
    <t>Güvenlik sistem testleri düzenli olarak gerçekleştirilmekte ve 
kampüs güvenliğine ilişkin hususların takibi güvenlik kontrol formu ile sağlanmaktadır.</t>
  </si>
  <si>
    <t>Güvenlik Sistem Testi (Drill) Raporu
/Güvenlik Sistemi Denetim Raporu 
/Güvenlik Kontrol Formu / Olay Raporu</t>
  </si>
  <si>
    <t>Aylık
/2 Ayda 1
/Günlük</t>
  </si>
  <si>
    <t>Sistem Raporu</t>
  </si>
  <si>
    <t>Yıllık Eğitim Planı</t>
  </si>
  <si>
    <t xml:space="preserve">Üniversite giriş sınavı ile ilgili işleyişte olabilecek bazı değişiklerin SÜ başarı sıralamalarını olumsuz etkilemesi </t>
  </si>
  <si>
    <t>İSG /Çevre risk değerlendirmesinde takip edilen risklerin termin takibinin yapılmaması</t>
  </si>
  <si>
    <t xml:space="preserve">Yetersiz bakım ve sık arıza, hizmet aksaması </t>
  </si>
  <si>
    <t>Ekipmanların ekonomik ömrünün uzatılması, iş verimliliğin artması, enerji tasarrufu sağlanması ve yeni teknolojilerin uygulamalara adapte edilmesi</t>
  </si>
  <si>
    <t>Kritik stok seviyelerinin limit onaylarının periyodik olarak gözden geçirilmemesi</t>
  </si>
  <si>
    <t>Maddi kaybın önlenmesi, malzeme kaynaklı iş kaybının önlenmesi</t>
  </si>
  <si>
    <t>Dış kaynaklı hizmetler birimler ile birlikte takip edilmektedir. Daha iyi hizmet için takip ve koordinasyon devam ettirilecek, SÜ menfaatleri doğrultusunda hareket edilecektir.</t>
  </si>
  <si>
    <t xml:space="preserve">Bağımsız denetimler
(YÖK, YÖKAK Denetimleri)
</t>
  </si>
  <si>
    <t>Günlük
/ Yıllık</t>
  </si>
  <si>
    <t>EBYS-Resmi Kayıt Defteri</t>
  </si>
  <si>
    <t>EBYS-KEP Giden Raporu</t>
  </si>
  <si>
    <t>Bilgilerin korunamaması</t>
  </si>
  <si>
    <t>Kişisel veri envater listesi düzenli olarak güncellenmektedir.</t>
  </si>
  <si>
    <t>KEP ve portal üzerinde yetkili kişi belirlenmiş ve yetkileri tanımlanmıştır.</t>
  </si>
  <si>
    <t xml:space="preserve">Performans yönetim sisteminin idari kadroyu kapsamaması </t>
  </si>
  <si>
    <t>Yurt yerleştirme kriterlerine uyumun sağlanamaması</t>
  </si>
  <si>
    <t>Hizmet kalitesinin sürekliliğinin sağlanamaması</t>
  </si>
  <si>
    <t>Pozisyon yetki güncellik kontrolünün yapılmaması</t>
  </si>
  <si>
    <t>Güvenli ve sağlıklı çalışma ve çevre koşullarının  sağlanamaması</t>
  </si>
  <si>
    <t>Çalışılmayacak firma listesinin periyodik olarak gözden geçirilmemesi</t>
  </si>
  <si>
    <t>Yedeklemenin etkin yönetilmemesi</t>
  </si>
  <si>
    <t>OPEX yazılımı emanetçi modülü ile takip edilmektedir.</t>
  </si>
  <si>
    <t>Bağış fonundaki artış, itibar artışı</t>
  </si>
  <si>
    <t>Her ay 2024</t>
  </si>
  <si>
    <t xml:space="preserve">BM kapasitesi %4 oranında artırılmıştır. Ayrıca, bu oranı yükseltmek amacıyla satın alma bütçesine kalem eklenmiştir.
</t>
  </si>
  <si>
    <t>SÜ paydaşlarına yönelik genel etkinlik planlamalarının çakışması sonucu algı karmaşası, katılım ve izlenmenin düşmesi</t>
  </si>
  <si>
    <t>Bütünleşik Etkinlik Takvimi oluşturulmuştur ve düzenli olarak güncellenmektedir.</t>
  </si>
  <si>
    <t>Her ay ayda 2 kere 
2024</t>
  </si>
  <si>
    <t>Tüm görsel tasarımların oluşturulan PKİ Talep Formu (MIC Support Form) ile PKİ biriminin onayı üzerinden yürütülmesi sağlanmaktadır.
Onaysız kullanılan tasarımlar için ilgili kişiye yazılı olarak bilgilendirme yapılmakta ve kullanımın düzeltilmesi süreci işletilmektedir.</t>
  </si>
  <si>
    <t>Haziran 2024, Aralık 2024</t>
  </si>
  <si>
    <t xml:space="preserve">Günlük SUTicket iletileri ile öğrencilerin geri bildirimlerinin takip edilmesi, araç GPS kontrollerine devam edilecek. 
Tüm shutlleda rezervasyon sistemine geçilmesi planlamaktadır.
</t>
  </si>
  <si>
    <t>Her ay 2024
/2 Ayda 1 2024
/ Oldukça</t>
  </si>
  <si>
    <t>Tedarikçi seçim kriterleri, Laboratuvar sonuçları, Şahit numune ve analiz sonuçları</t>
  </si>
  <si>
    <t>Firma seçimi aşaması
Günlük
/Aylık</t>
  </si>
  <si>
    <t>Firma seçimi aşamasında gıda güvenliğine ilişkin ISO 9001 ve ISO 22000 / HACCP gibi belgelerin mevcut olması talep edilmekte ve tedarikçi seçimi bu kriterlere göre yapılmaktadır. Mutfakta kullanılacak ürün listesi denetimi yapılmaktadır.
Tam zamanlı Gıda Mühendisinin bulundurulması ve günlük kontrollerin yapılması. Günlük şahit numune ve aylık random yemek analizinin gerçekleştirilmesi</t>
  </si>
  <si>
    <t>OPEX yazılımı ile takip edilmektedir. 
Farklı bir kişinin kargoyu teslim almak istemesi durumunda kargo sahibinden mail talep edilmekte, aksi durumda kargo teslim edilmemektedir.</t>
  </si>
  <si>
    <t>C330 Sağlık Hizmetlerini Sağlama Süreci etkin olarak yönetilmektedir.
Personelin devamlılığı Ocak 2024 itibarıyla kartlı sistem ve imza ile kontrol edilmeye başlanmıştır.</t>
  </si>
  <si>
    <t>İK tarafından IT birimine ayrılan, emekli olan ve görev değişikliği yapılan personel bilgileri ve yetki bilgileri düzenli olarak iletilmektedir.</t>
  </si>
  <si>
    <t>SUForm Bildirimleri</t>
  </si>
  <si>
    <t>Çeyreklik 2024</t>
  </si>
  <si>
    <t xml:space="preserve">İdari çalışanlar için yetenek yönetimi sistemi kuruldu. 1. Fazolan  kritik pozisyonların gözden geçirilmesi ve yedekleme adaylarının belirlenebilmesi tamamlandı. 2. Faz uygulama çalışması devam etmektedir. </t>
  </si>
  <si>
    <t>İdari kadronun Performans ve Ödüllendirme Sistemi kurulmuş olup, PERFX üzerinden yıllık değerlendirmelere devam edilecektir.</t>
  </si>
  <si>
    <t>Düzen</t>
  </si>
  <si>
    <t>Stratejik hedefleri desteklemeyen ve pozisyona uygun olmayan idari personel  işe devamı</t>
  </si>
  <si>
    <t>Eğitim planının oluşturulmuş ve yayınlanmıştır.</t>
  </si>
  <si>
    <t>Eğitim kayıtları düzenli olarak tutulacaktır.</t>
  </si>
  <si>
    <t>Oldukça 2024</t>
  </si>
  <si>
    <t>Çalışan Deneyimi Yönetimi</t>
  </si>
  <si>
    <t>İdari çalışan bağlığının düşük olması sonucunda yetenek kaybı yaşanması</t>
  </si>
  <si>
    <t>Çalışan bağlılığı anketler ve sonuçlarına göre bağlılık aksiyonları gerçekleştirilmektedir. Her yıl ek aksiyonlar planlanmaktadır.</t>
  </si>
  <si>
    <t>Çalışan bağlılık anketi</t>
  </si>
  <si>
    <t xml:space="preserve">Yıllık </t>
  </si>
  <si>
    <t>Çalışan bağlılığı</t>
  </si>
  <si>
    <t xml:space="preserve">S100 Bilgi Teknolojilerinin Yönetilmesi Süreçleri ile yönetilmektedir. </t>
  </si>
  <si>
    <t>Siber Güvenlik Olay Yönetimi adımları belirlenmiştir, dokümante edilecektir.</t>
  </si>
  <si>
    <t>Siber Güvenlik Olay Yönetimine Dokümantasyon</t>
  </si>
  <si>
    <t>S130 Bilgi Teknolojileri İşletimini Yönetme Süreci ile yönetilmektedir.
2024 yılı içerisinde disaster recovery site yeniden kurulacak ve tatbikatlar gerçekleştirilecektir.</t>
  </si>
  <si>
    <t>Üniversitenin  Çevre faaliyetlerindeki  risk çevre etki değerlendimesi ile risk yönetilmektedir. 
Çevre ile ilgili eğitimlere başlamıştır.
Sıfır atık projesi kapsamında uygulamalara devam edilmektedir.</t>
  </si>
  <si>
    <t>Çevre Etki Boyut Değerlendirmesi</t>
  </si>
  <si>
    <t>İSG ekibi ve kurulu tarafından İSG riskleri, Çevre Danışmanı tarafından çevre riskleri sürekli takibi yapılmaktadır.</t>
  </si>
  <si>
    <t>Mart-Haziran- Eylül 2024- Aralık 2024</t>
  </si>
  <si>
    <t>Çeyreklik</t>
  </si>
  <si>
    <t>Mart 2024-Ağustos2024</t>
  </si>
  <si>
    <t>Onaylı finansman açığının belirlenenden yüksek olması, 100.000 TL az olması</t>
  </si>
  <si>
    <t>Onaylı finansman açığının belirlenenden yüksek olması, 100.000 TL - 200.000 TL arası olması</t>
  </si>
  <si>
    <t>Onaylı finansman açığının belirlenenden yüksek olması, 200.000 TL - 1.000.000 TL arası olması</t>
  </si>
  <si>
    <t>Onaylı finansman açığının belirlenenden yüksek olması, 1.000.000 TL - 5.000.000 TL arası olması</t>
  </si>
  <si>
    <t>Onaylı finansman açığının belirlenenden yüksek olması, 5.000.000 TL - fazla  olması</t>
  </si>
  <si>
    <t>Ocak- Ağustos 2024
Dönemleri</t>
  </si>
  <si>
    <t>Yeni dersler eklenerek mevcut program geliştirilmekte, düzenli tanıtım yapılmakta, reklam kampanyaları düzenlenmekte ve ilgili okullarla sürekli iletişim sağlanmaya devam edilmektedir.</t>
  </si>
  <si>
    <t>Erasmus  staj programı hibeli öğrencilere ait  evraklardaki eksiklikler</t>
  </si>
  <si>
    <t xml:space="preserve">Erasmus staj programı bütçesinin etkin olarak kullanılamaması </t>
  </si>
  <si>
    <t>Diğer üniversitelerle konsorsiyum anlaşmaları yapılmakta ve burslu olarak giden öğrenci sayısını arttırılmaktadır. Yıl içerisinde birden fazla çağrıya çıkılmaktadır, iletişimde olunan firma ve mezunlarla iş birlikleri geliştirilmektedir.</t>
  </si>
  <si>
    <t>Kasım 2023 tarihi itibariyle dersliğe çevirilen mekanlar mevcuttur. Bir önceki yıla oranla  ders programlanan mekan artışı %3 olarak gerçekleşmiştir.</t>
  </si>
  <si>
    <t>Eylül 2024-Ekim 2024</t>
  </si>
  <si>
    <t>Acil durum planı ve kriz yönetimi kapsamında mücbir sebeplerin tanımlanması ve iç-dış iletişim yönteminin belirlenmesi ve ilgili süreçlerin oluşturulması için AKUT'tan danışmanlık alınmakta, çalışmalar devam etmektedir.</t>
  </si>
  <si>
    <t>Düzeltici Faaliyetler Kayıtları
İç ve Dış Denetim Kayıtları
YGG Kayıtları</t>
  </si>
  <si>
    <t>Gözden Geçirme Tarihi (2024.03.11)</t>
  </si>
  <si>
    <t>FGS-630-01-01V01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</si>
</sst>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3" x14ac:knownFonts="1">
    <font>
      <sz val="12"/>
      <color theme="1"/>
      <name val="Calibri"/>
      <family val="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8"/>
      <name val="Calibri"/>
      <family val="2"/>
      <scheme val="minor"/>
    </font>
    <font>
      <b/>
      <sz val="11"/>
      <color theme="0"/>
      <name val="Calibri"/>
      <family val="2"/>
      <charset val="162"/>
      <scheme val="minor"/>
    </font>
    <font>
      <b/>
      <sz val="11"/>
      <color theme="1"/>
      <name val="Calibri"/>
      <family val="2"/>
      <charset val="162"/>
      <scheme val="minor"/>
    </font>
    <font>
      <sz val="11"/>
      <name val="Calibri"/>
      <family val="2"/>
      <charset val="162"/>
      <scheme val="minor"/>
    </font>
    <font>
      <b/>
      <sz val="11"/>
      <name val="Calibri"/>
      <family val="2"/>
      <charset val="162"/>
      <scheme val="minor"/>
    </font>
    <font>
      <sz val="11"/>
      <color rgb="FF000000"/>
      <name val="Calibri"/>
      <family val="2"/>
      <charset val="162"/>
      <scheme val="minor"/>
    </font>
    <font>
      <b/>
      <sz val="11"/>
      <color rgb="FF002060"/>
      <name val="Calibri"/>
      <family val="2"/>
      <charset val="162"/>
      <scheme val="minor"/>
    </font>
    <font>
      <i/>
      <sz val="11"/>
      <color theme="1" tint="0.14999847407452621"/>
      <name val="Calibri"/>
      <family val="2"/>
      <charset val="162"/>
      <scheme val="minor"/>
    </font>
    <font>
      <i/>
      <sz val="11"/>
      <color theme="1"/>
      <name val="Calibri"/>
      <family val="2"/>
      <charset val="162"/>
      <scheme val="minor"/>
    </font>
    <font>
      <b/>
      <i/>
      <sz val="11"/>
      <color rgb="FFFF0000"/>
      <name val="Calibri"/>
      <family val="2"/>
      <charset val="162"/>
      <scheme val="minor"/>
    </font>
    <font>
      <b/>
      <sz val="11"/>
      <color rgb="FFFFFFFF"/>
      <name val="Calibri"/>
      <family val="2"/>
      <charset val="162"/>
      <scheme val="minor"/>
    </font>
    <font>
      <b/>
      <sz val="11"/>
      <color theme="1" tint="0.14999847407452621"/>
      <name val="Calibri"/>
      <family val="2"/>
      <charset val="162"/>
      <scheme val="minor"/>
    </font>
    <font>
      <sz val="11"/>
      <color rgb="FF262626"/>
      <name val="Calibri"/>
      <family val="2"/>
      <charset val="162"/>
      <scheme val="minor"/>
    </font>
    <font>
      <sz val="11"/>
      <color theme="1" tint="0.14999847407452621"/>
      <name val="Calibri"/>
      <family val="2"/>
      <charset val="162"/>
      <scheme val="minor"/>
    </font>
    <font>
      <sz val="11"/>
      <color theme="0" tint="-0.34998626667073579"/>
      <name val="Calibri"/>
      <family val="2"/>
      <charset val="162"/>
      <scheme val="minor"/>
    </font>
    <font>
      <i/>
      <sz val="11"/>
      <color theme="0" tint="-0.14999847407452621"/>
      <name val="Calibri"/>
      <family val="2"/>
      <charset val="162"/>
      <scheme val="minor"/>
    </font>
    <font>
      <sz val="11"/>
      <color rgb="FFFF0000"/>
      <name val="Calibri"/>
      <family val="2"/>
      <charset val="162"/>
      <scheme val="minor"/>
    </font>
    <font>
      <sz val="11"/>
      <name val="Calibri"/>
      <family val="2"/>
      <scheme val="minor"/>
    </font>
  </fonts>
  <fills count="18">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4"/>
        <bgColor indexed="64"/>
      </patternFill>
    </fill>
    <fill>
      <patternFill patternType="solid">
        <fgColor rgb="FF002060"/>
        <bgColor indexed="64"/>
      </patternFill>
    </fill>
    <fill>
      <patternFill patternType="solid">
        <fgColor rgb="FFFFFFFF"/>
        <bgColor indexed="64"/>
      </patternFill>
    </fill>
    <fill>
      <patternFill patternType="solid">
        <fgColor rgb="FFD9E2F3"/>
        <bgColor indexed="64"/>
      </patternFill>
    </fill>
    <fill>
      <patternFill patternType="solid">
        <fgColor rgb="FF800000"/>
        <bgColor indexed="64"/>
      </patternFill>
    </fill>
    <fill>
      <patternFill patternType="solid">
        <fgColor theme="5"/>
        <bgColor indexed="64"/>
      </patternFill>
    </fill>
    <fill>
      <patternFill patternType="solid">
        <fgColor theme="0"/>
        <bgColor indexed="64"/>
      </patternFill>
    </fill>
    <fill>
      <patternFill patternType="solid">
        <fgColor rgb="FFC00000"/>
        <bgColor indexed="64"/>
      </patternFill>
    </fill>
    <fill>
      <patternFill patternType="solid">
        <fgColor theme="9"/>
        <bgColor indexed="64"/>
      </patternFill>
    </fill>
    <fill>
      <patternFill patternType="solid">
        <fgColor rgb="FF7030A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2">
    <xf numFmtId="0" fontId="0" fillId="0" borderId="0"/>
    <xf numFmtId="0" fontId="64" fillId="0" borderId="0"/>
  </cellStyleXfs>
  <cellXfs count="333">
    <xf numFmtId="0" fontId="0" fillId="0" borderId="0" xfId="0"/>
    <xf numFmtId="0" fontId="68" fillId="0" borderId="1" xfId="0" applyFont="1" applyBorder="1" applyAlignment="1">
      <alignment horizontal="center" vertical="center" wrapText="1"/>
    </xf>
    <xf numFmtId="17" fontId="63" fillId="0" borderId="1" xfId="0" applyNumberFormat="1" applyFont="1" applyBorder="1" applyAlignment="1">
      <alignment horizontal="center" vertical="center" wrapText="1"/>
    </xf>
    <xf numFmtId="0" fontId="63" fillId="14" borderId="1" xfId="0" applyFont="1" applyFill="1" applyBorder="1" applyAlignment="1">
      <alignment horizontal="center" vertical="center" wrapText="1"/>
    </xf>
    <xf numFmtId="0" fontId="63" fillId="0" borderId="1" xfId="0" applyFont="1" applyBorder="1" applyAlignment="1">
      <alignment horizontal="center" vertical="center" wrapText="1"/>
    </xf>
    <xf numFmtId="0" fontId="63" fillId="0" borderId="0" xfId="0" applyFont="1" applyAlignment="1">
      <alignment horizontal="center" vertical="center" wrapText="1"/>
    </xf>
    <xf numFmtId="0" fontId="67" fillId="0" borderId="0" xfId="0" applyFont="1" applyAlignment="1">
      <alignment horizontal="center" vertical="center" wrapText="1"/>
    </xf>
    <xf numFmtId="0" fontId="63" fillId="0" borderId="2" xfId="0" applyFont="1" applyBorder="1" applyAlignment="1">
      <alignment vertical="center" wrapText="1"/>
    </xf>
    <xf numFmtId="0" fontId="63" fillId="0" borderId="2" xfId="0" applyFont="1" applyBorder="1" applyAlignment="1">
      <alignment horizontal="left" vertical="center" wrapText="1"/>
    </xf>
    <xf numFmtId="0" fontId="63" fillId="0" borderId="2" xfId="0" applyFont="1" applyBorder="1" applyAlignment="1">
      <alignment horizontal="center" vertical="center" wrapText="1"/>
    </xf>
    <xf numFmtId="0" fontId="67" fillId="0" borderId="1" xfId="0" applyFont="1" applyBorder="1" applyAlignment="1">
      <alignment horizontal="center" vertical="center" wrapText="1"/>
    </xf>
    <xf numFmtId="0" fontId="67" fillId="0" borderId="1" xfId="0" applyFont="1" applyBorder="1" applyAlignment="1">
      <alignment vertical="center" wrapText="1"/>
    </xf>
    <xf numFmtId="0" fontId="63" fillId="0" borderId="1" xfId="0" applyFont="1" applyBorder="1" applyAlignment="1">
      <alignment horizontal="left" vertical="center" wrapText="1"/>
    </xf>
    <xf numFmtId="0" fontId="63" fillId="0" borderId="1" xfId="0" quotePrefix="1" applyFont="1" applyBorder="1" applyAlignment="1">
      <alignment horizontal="left" vertical="center" wrapText="1"/>
    </xf>
    <xf numFmtId="0" fontId="63" fillId="0" borderId="1" xfId="0" quotePrefix="1" applyFont="1" applyBorder="1" applyAlignment="1">
      <alignment horizontal="center" vertical="center" wrapText="1"/>
    </xf>
    <xf numFmtId="0" fontId="63" fillId="0" borderId="1" xfId="0" quotePrefix="1" applyFont="1" applyBorder="1" applyAlignment="1">
      <alignment vertical="center" wrapText="1"/>
    </xf>
    <xf numFmtId="0" fontId="63" fillId="0" borderId="1" xfId="0" applyFont="1" applyBorder="1" applyAlignment="1">
      <alignment vertical="center" wrapText="1"/>
    </xf>
    <xf numFmtId="0" fontId="63" fillId="14" borderId="1" xfId="0" applyFont="1" applyFill="1" applyBorder="1" applyAlignment="1">
      <alignment horizontal="left" vertical="center" wrapText="1"/>
    </xf>
    <xf numFmtId="0" fontId="63" fillId="0" borderId="1" xfId="0" applyFont="1" applyBorder="1" applyAlignment="1" applyProtection="1">
      <alignment horizontal="center" vertical="center" wrapText="1"/>
      <protection locked="0"/>
    </xf>
    <xf numFmtId="0" fontId="63" fillId="14" borderId="1" xfId="0" quotePrefix="1" applyFont="1" applyFill="1" applyBorder="1" applyAlignment="1">
      <alignment horizontal="left" vertical="center" wrapText="1"/>
    </xf>
    <xf numFmtId="0" fontId="63" fillId="14" borderId="1" xfId="0" quotePrefix="1" applyFont="1" applyFill="1" applyBorder="1" applyAlignment="1">
      <alignment vertical="center" wrapText="1"/>
    </xf>
    <xf numFmtId="0" fontId="63" fillId="14" borderId="1" xfId="0" applyFont="1" applyFill="1" applyBorder="1" applyAlignment="1">
      <alignment vertical="center" wrapText="1"/>
    </xf>
    <xf numFmtId="0" fontId="70" fillId="0" borderId="1" xfId="0" applyFont="1" applyBorder="1" applyAlignment="1">
      <alignment horizontal="left" vertical="center" wrapText="1"/>
    </xf>
    <xf numFmtId="0" fontId="68" fillId="0" borderId="1" xfId="0" applyFont="1" applyBorder="1" applyAlignment="1">
      <alignment horizontal="left" vertical="center" wrapText="1"/>
    </xf>
    <xf numFmtId="0" fontId="63" fillId="0" borderId="0" xfId="0" applyFont="1" applyAlignment="1">
      <alignment horizontal="left" vertical="center" wrapText="1"/>
    </xf>
    <xf numFmtId="0" fontId="63" fillId="0" borderId="0" xfId="0" applyFont="1" applyAlignment="1">
      <alignment vertical="center" wrapText="1"/>
    </xf>
    <xf numFmtId="0" fontId="63" fillId="0" borderId="0" xfId="0" applyFont="1"/>
    <xf numFmtId="0" fontId="73" fillId="0" borderId="0" xfId="0" applyFont="1"/>
    <xf numFmtId="0" fontId="68" fillId="0" borderId="13" xfId="0" applyFont="1" applyBorder="1" applyAlignment="1">
      <alignment vertical="center"/>
    </xf>
    <xf numFmtId="0" fontId="75" fillId="5" borderId="1" xfId="0" applyFont="1" applyFill="1" applyBorder="1" applyAlignment="1">
      <alignment horizontal="center" vertical="center" wrapText="1" readingOrder="1"/>
    </xf>
    <xf numFmtId="0" fontId="71" fillId="3" borderId="1" xfId="0" applyFont="1" applyFill="1" applyBorder="1" applyAlignment="1">
      <alignment horizontal="center" vertical="center" wrapText="1" readingOrder="1"/>
    </xf>
    <xf numFmtId="0" fontId="75" fillId="13" borderId="1" xfId="0" applyFont="1" applyFill="1" applyBorder="1" applyAlignment="1">
      <alignment horizontal="center" vertical="center" wrapText="1" readingOrder="1"/>
    </xf>
    <xf numFmtId="0" fontId="75" fillId="2" borderId="1" xfId="0" applyFont="1" applyFill="1" applyBorder="1" applyAlignment="1">
      <alignment horizontal="center" vertical="center" wrapText="1" readingOrder="1"/>
    </xf>
    <xf numFmtId="0" fontId="75" fillId="12" borderId="14" xfId="0" applyFont="1" applyFill="1" applyBorder="1" applyAlignment="1">
      <alignment horizontal="center" vertical="center" wrapText="1" readingOrder="1"/>
    </xf>
    <xf numFmtId="0" fontId="76" fillId="0" borderId="13" xfId="0" applyFont="1" applyBorder="1" applyAlignment="1">
      <alignment horizontal="left" vertical="center" wrapText="1"/>
    </xf>
    <xf numFmtId="0" fontId="77" fillId="10" borderId="1" xfId="0" applyFont="1" applyFill="1" applyBorder="1" applyAlignment="1">
      <alignment vertical="center" wrapText="1"/>
    </xf>
    <xf numFmtId="0" fontId="77" fillId="10" borderId="14" xfId="0" applyFont="1" applyFill="1" applyBorder="1" applyAlignment="1">
      <alignment vertical="center" wrapText="1"/>
    </xf>
    <xf numFmtId="0" fontId="68" fillId="0" borderId="1" xfId="0" applyFont="1" applyBorder="1" applyAlignment="1">
      <alignment vertical="center" wrapText="1"/>
    </xf>
    <xf numFmtId="0" fontId="78" fillId="0" borderId="1" xfId="0" quotePrefix="1" applyFont="1" applyBorder="1" applyAlignment="1">
      <alignment vertical="center" wrapText="1"/>
    </xf>
    <xf numFmtId="0" fontId="68" fillId="0" borderId="1" xfId="0" quotePrefix="1" applyFont="1" applyBorder="1" applyAlignment="1">
      <alignment vertical="center" wrapText="1"/>
    </xf>
    <xf numFmtId="0" fontId="68" fillId="0" borderId="14" xfId="0" quotePrefix="1" applyFont="1" applyBorder="1" applyAlignment="1">
      <alignment vertical="center" wrapText="1"/>
    </xf>
    <xf numFmtId="0" fontId="76" fillId="0" borderId="18" xfId="0" applyFont="1" applyBorder="1" applyAlignment="1">
      <alignment horizontal="left" vertical="center" wrapText="1"/>
    </xf>
    <xf numFmtId="0" fontId="77" fillId="10" borderId="2" xfId="0" applyFont="1" applyFill="1" applyBorder="1" applyAlignment="1">
      <alignment vertical="center" wrapText="1"/>
    </xf>
    <xf numFmtId="0" fontId="77" fillId="10" borderId="19" xfId="0" applyFont="1" applyFill="1" applyBorder="1" applyAlignment="1">
      <alignment vertical="center" wrapText="1"/>
    </xf>
    <xf numFmtId="0" fontId="78" fillId="0" borderId="0" xfId="0" applyFont="1" applyAlignment="1">
      <alignment vertical="center" wrapText="1"/>
    </xf>
    <xf numFmtId="0" fontId="63" fillId="0" borderId="13" xfId="0" applyFont="1" applyBorder="1"/>
    <xf numFmtId="0" fontId="63" fillId="0" borderId="1" xfId="0" applyFont="1" applyBorder="1" applyAlignment="1">
      <alignment horizontal="left" vertical="center"/>
    </xf>
    <xf numFmtId="0" fontId="63" fillId="0" borderId="14" xfId="0" applyFont="1" applyBorder="1" applyAlignment="1">
      <alignment horizontal="left" vertical="center"/>
    </xf>
    <xf numFmtId="0" fontId="63" fillId="0" borderId="2" xfId="0" applyFont="1" applyBorder="1" applyAlignment="1">
      <alignment horizontal="left" vertical="center"/>
    </xf>
    <xf numFmtId="0" fontId="63" fillId="0" borderId="19" xfId="0" applyFont="1" applyBorder="1" applyAlignment="1">
      <alignment horizontal="left" vertical="center" wrapText="1"/>
    </xf>
    <xf numFmtId="0" fontId="67" fillId="11" borderId="13" xfId="0" applyFont="1" applyFill="1" applyBorder="1" applyAlignment="1">
      <alignment horizontal="center" vertical="center" wrapText="1"/>
    </xf>
    <xf numFmtId="49" fontId="67" fillId="0" borderId="13" xfId="0" applyNumberFormat="1" applyFont="1" applyBorder="1" applyAlignment="1">
      <alignment horizontal="center" vertical="center" wrapText="1"/>
    </xf>
    <xf numFmtId="0" fontId="63" fillId="0" borderId="0" xfId="0" applyFont="1" applyAlignment="1">
      <alignment horizontal="center" vertical="center"/>
    </xf>
    <xf numFmtId="0" fontId="63" fillId="0" borderId="13" xfId="0" applyFont="1" applyBorder="1" applyAlignment="1">
      <alignment horizontal="center" vertical="center"/>
    </xf>
    <xf numFmtId="0" fontId="63" fillId="0" borderId="1" xfId="0" applyFont="1" applyBorder="1" applyAlignment="1">
      <alignment horizontal="center" vertical="center"/>
    </xf>
    <xf numFmtId="0" fontId="63" fillId="0" borderId="14" xfId="0" applyFont="1" applyBorder="1" applyAlignment="1">
      <alignment horizontal="center" vertical="center"/>
    </xf>
    <xf numFmtId="0" fontId="63" fillId="0" borderId="18" xfId="0" applyFont="1" applyBorder="1" applyAlignment="1">
      <alignment horizontal="center" vertical="center"/>
    </xf>
    <xf numFmtId="0" fontId="63" fillId="0" borderId="2" xfId="0" applyFont="1" applyBorder="1" applyAlignment="1">
      <alignment horizontal="center" vertical="center"/>
    </xf>
    <xf numFmtId="0" fontId="63" fillId="0" borderId="19" xfId="0" applyFont="1" applyBorder="1" applyAlignment="1">
      <alignment horizontal="center" vertical="center"/>
    </xf>
    <xf numFmtId="0" fontId="62" fillId="14" borderId="1" xfId="0" applyFont="1" applyFill="1" applyBorder="1" applyAlignment="1">
      <alignment horizontal="left" vertical="center" wrapText="1"/>
    </xf>
    <xf numFmtId="0" fontId="66" fillId="15" borderId="1" xfId="0" applyFont="1" applyFill="1" applyBorder="1" applyAlignment="1">
      <alignment vertical="center"/>
    </xf>
    <xf numFmtId="0" fontId="61" fillId="0" borderId="1" xfId="0" applyFont="1" applyBorder="1" applyAlignment="1">
      <alignment horizontal="left" vertical="center" wrapText="1"/>
    </xf>
    <xf numFmtId="0" fontId="60" fillId="0" borderId="1" xfId="0" applyFont="1" applyBorder="1" applyAlignment="1">
      <alignment horizontal="left" vertical="center" wrapText="1"/>
    </xf>
    <xf numFmtId="0" fontId="59" fillId="0" borderId="1" xfId="0" applyFont="1" applyBorder="1" applyAlignment="1">
      <alignment horizontal="center" vertical="center" wrapText="1"/>
    </xf>
    <xf numFmtId="0" fontId="58" fillId="0" borderId="1" xfId="0" applyFont="1" applyBorder="1" applyAlignment="1">
      <alignment horizontal="left" vertical="center" wrapText="1"/>
    </xf>
    <xf numFmtId="0" fontId="58" fillId="14" borderId="1" xfId="0" applyFont="1" applyFill="1" applyBorder="1" applyAlignment="1">
      <alignment horizontal="left" vertical="center" wrapText="1"/>
    </xf>
    <xf numFmtId="0" fontId="58" fillId="0" borderId="1" xfId="0" applyFont="1" applyBorder="1" applyAlignment="1" applyProtection="1">
      <alignment horizontal="left" vertical="center" wrapText="1"/>
      <protection locked="0"/>
    </xf>
    <xf numFmtId="0" fontId="58" fillId="0" borderId="1" xfId="0" applyFont="1" applyBorder="1" applyAlignment="1">
      <alignment horizontal="center" vertical="center" wrapText="1"/>
    </xf>
    <xf numFmtId="0" fontId="57" fillId="0" borderId="1" xfId="0" applyFont="1" applyBorder="1" applyAlignment="1">
      <alignment horizontal="left" vertical="center" wrapText="1"/>
    </xf>
    <xf numFmtId="0" fontId="57" fillId="0" borderId="1" xfId="0" applyFont="1" applyBorder="1" applyAlignment="1">
      <alignment horizontal="center" vertical="center" wrapText="1"/>
    </xf>
    <xf numFmtId="0" fontId="57" fillId="14" borderId="1" xfId="0" applyFont="1" applyFill="1" applyBorder="1" applyAlignment="1">
      <alignment horizontal="left" vertical="center" wrapText="1"/>
    </xf>
    <xf numFmtId="0" fontId="56" fillId="0" borderId="1" xfId="0" applyFont="1" applyBorder="1" applyAlignment="1">
      <alignment horizontal="center" vertical="center" wrapText="1"/>
    </xf>
    <xf numFmtId="0" fontId="54" fillId="14" borderId="1" xfId="0" applyFont="1" applyFill="1" applyBorder="1" applyAlignment="1">
      <alignment horizontal="left" vertical="center" wrapText="1"/>
    </xf>
    <xf numFmtId="0" fontId="54" fillId="0" borderId="1" xfId="0" applyFont="1" applyBorder="1" applyAlignment="1">
      <alignment vertical="center" wrapText="1"/>
    </xf>
    <xf numFmtId="0" fontId="53" fillId="0" borderId="1" xfId="0" applyFont="1" applyBorder="1" applyAlignment="1">
      <alignment horizontal="center" vertical="center" wrapText="1"/>
    </xf>
    <xf numFmtId="17" fontId="53" fillId="0" borderId="1" xfId="0" applyNumberFormat="1" applyFont="1" applyBorder="1" applyAlignment="1">
      <alignment horizontal="center" vertical="center" wrapText="1"/>
    </xf>
    <xf numFmtId="0" fontId="53" fillId="0" borderId="1" xfId="0" applyFont="1" applyBorder="1" applyAlignment="1">
      <alignment vertical="center" wrapText="1"/>
    </xf>
    <xf numFmtId="0" fontId="52" fillId="0" borderId="1" xfId="0" applyFont="1" applyBorder="1" applyAlignment="1">
      <alignment horizontal="center" vertical="center" wrapText="1"/>
    </xf>
    <xf numFmtId="0" fontId="51" fillId="14" borderId="1" xfId="0" quotePrefix="1" applyFont="1" applyFill="1" applyBorder="1" applyAlignment="1">
      <alignment horizontal="left" vertical="center" wrapText="1"/>
    </xf>
    <xf numFmtId="0" fontId="51" fillId="0" borderId="1" xfId="0" quotePrefix="1" applyFont="1" applyBorder="1" applyAlignment="1">
      <alignment horizontal="left" vertical="center" wrapText="1"/>
    </xf>
    <xf numFmtId="0" fontId="51" fillId="14" borderId="1" xfId="0" quotePrefix="1" applyFont="1" applyFill="1" applyBorder="1" applyAlignment="1">
      <alignment vertical="center" wrapText="1"/>
    </xf>
    <xf numFmtId="0" fontId="50" fillId="0" borderId="1" xfId="0" applyFont="1" applyBorder="1" applyAlignment="1">
      <alignment horizontal="center" vertical="center" wrapText="1"/>
    </xf>
    <xf numFmtId="0" fontId="49" fillId="0" borderId="1" xfId="0" applyFont="1" applyBorder="1" applyAlignment="1">
      <alignment horizontal="left" vertical="center" wrapText="1"/>
    </xf>
    <xf numFmtId="0" fontId="49" fillId="0" borderId="1" xfId="0" applyFont="1" applyBorder="1" applyAlignment="1">
      <alignment vertical="center" wrapText="1"/>
    </xf>
    <xf numFmtId="0" fontId="49" fillId="0" borderId="1" xfId="0" applyFont="1" applyBorder="1" applyAlignment="1">
      <alignment horizontal="center" vertical="center" wrapText="1"/>
    </xf>
    <xf numFmtId="0" fontId="50" fillId="0" borderId="1" xfId="0" applyFont="1" applyBorder="1" applyAlignment="1">
      <alignment horizontal="left" vertical="center" wrapText="1"/>
    </xf>
    <xf numFmtId="0" fontId="48" fillId="0" borderId="0" xfId="0" applyFont="1" applyAlignment="1">
      <alignment horizontal="center" vertical="center" wrapText="1"/>
    </xf>
    <xf numFmtId="0" fontId="47" fillId="0" borderId="0" xfId="0" applyFont="1" applyAlignment="1">
      <alignment horizontal="center" vertical="center" wrapText="1"/>
    </xf>
    <xf numFmtId="0" fontId="47" fillId="14" borderId="1" xfId="0" applyFont="1" applyFill="1" applyBorder="1" applyAlignment="1">
      <alignment vertical="center" wrapText="1"/>
    </xf>
    <xf numFmtId="0" fontId="46" fillId="0" borderId="1" xfId="0" applyFont="1" applyBorder="1" applyAlignment="1">
      <alignment horizontal="left" vertical="center" wrapText="1"/>
    </xf>
    <xf numFmtId="17" fontId="46" fillId="0" borderId="1" xfId="0" applyNumberFormat="1" applyFont="1" applyBorder="1" applyAlignment="1">
      <alignment horizontal="center" vertical="center" wrapText="1"/>
    </xf>
    <xf numFmtId="0" fontId="46" fillId="0" borderId="1" xfId="0" applyFont="1" applyBorder="1" applyAlignment="1">
      <alignment vertical="center" wrapText="1"/>
    </xf>
    <xf numFmtId="0" fontId="45" fillId="0" borderId="1" xfId="0" applyFont="1" applyBorder="1" applyAlignment="1">
      <alignment horizontal="left" vertical="center" wrapText="1"/>
    </xf>
    <xf numFmtId="0" fontId="45" fillId="0" borderId="1" xfId="0" applyFont="1" applyBorder="1" applyAlignment="1">
      <alignment horizontal="center" vertical="center" wrapText="1"/>
    </xf>
    <xf numFmtId="0" fontId="45" fillId="14" borderId="1" xfId="0" applyFont="1" applyFill="1" applyBorder="1" applyAlignment="1">
      <alignment horizontal="center" vertical="center" wrapText="1"/>
    </xf>
    <xf numFmtId="0" fontId="45" fillId="14" borderId="1" xfId="0" applyFont="1" applyFill="1" applyBorder="1" applyAlignment="1">
      <alignment horizontal="left" vertical="center" wrapText="1"/>
    </xf>
    <xf numFmtId="17" fontId="45" fillId="14" borderId="1" xfId="0" applyNumberFormat="1" applyFont="1" applyFill="1" applyBorder="1" applyAlignment="1">
      <alignment horizontal="center" vertical="center" wrapText="1"/>
    </xf>
    <xf numFmtId="0" fontId="45" fillId="14" borderId="1" xfId="0" applyFont="1" applyFill="1" applyBorder="1" applyAlignment="1">
      <alignment vertical="center" wrapText="1"/>
    </xf>
    <xf numFmtId="0" fontId="44" fillId="0" borderId="1" xfId="0" applyFont="1" applyBorder="1" applyAlignment="1">
      <alignment horizontal="left" vertical="center" wrapText="1"/>
    </xf>
    <xf numFmtId="0" fontId="44" fillId="14" borderId="1" xfId="0" quotePrefix="1" applyFont="1" applyFill="1" applyBorder="1" applyAlignment="1">
      <alignment horizontal="left" vertical="center" wrapText="1"/>
    </xf>
    <xf numFmtId="0" fontId="44" fillId="0" borderId="1" xfId="0" applyFont="1" applyBorder="1" applyAlignment="1">
      <alignment horizontal="center" vertical="center" wrapText="1"/>
    </xf>
    <xf numFmtId="0" fontId="44" fillId="0" borderId="1" xfId="0" applyFont="1" applyBorder="1" applyAlignment="1">
      <alignment vertical="center" wrapText="1"/>
    </xf>
    <xf numFmtId="0" fontId="63" fillId="0" borderId="8" xfId="0" applyFont="1" applyBorder="1" applyAlignment="1">
      <alignment horizontal="center" vertical="center" wrapText="1"/>
    </xf>
    <xf numFmtId="0" fontId="63" fillId="0" borderId="5" xfId="0" applyFont="1" applyBorder="1" applyAlignment="1">
      <alignment horizontal="center" vertical="center" wrapText="1"/>
    </xf>
    <xf numFmtId="0" fontId="69" fillId="16" borderId="1" xfId="0" applyFont="1" applyFill="1" applyBorder="1" applyAlignment="1">
      <alignment vertical="center" wrapText="1"/>
    </xf>
    <xf numFmtId="0" fontId="54" fillId="0" borderId="1" xfId="0" applyFont="1" applyBorder="1" applyAlignment="1">
      <alignment horizontal="center" vertical="center" wrapText="1"/>
    </xf>
    <xf numFmtId="0" fontId="42" fillId="0" borderId="1" xfId="0" quotePrefix="1" applyFont="1" applyBorder="1" applyAlignment="1">
      <alignment horizontal="left" vertical="center" wrapText="1"/>
    </xf>
    <xf numFmtId="0" fontId="42" fillId="0" borderId="1" xfId="0" applyFont="1" applyBorder="1" applyAlignment="1">
      <alignment horizontal="left" vertical="center" wrapText="1"/>
    </xf>
    <xf numFmtId="17" fontId="42" fillId="14" borderId="1" xfId="0" applyNumberFormat="1" applyFont="1" applyFill="1" applyBorder="1" applyAlignment="1">
      <alignment horizontal="center" vertical="center" wrapText="1"/>
    </xf>
    <xf numFmtId="0" fontId="42" fillId="14" borderId="1" xfId="0" quotePrefix="1" applyFont="1" applyFill="1" applyBorder="1" applyAlignment="1">
      <alignment vertical="center" wrapText="1"/>
    </xf>
    <xf numFmtId="0" fontId="42" fillId="14" borderId="1" xfId="0" quotePrefix="1" applyFont="1" applyFill="1" applyBorder="1" applyAlignment="1">
      <alignment horizontal="center" vertical="center" wrapText="1"/>
    </xf>
    <xf numFmtId="0" fontId="42" fillId="14" borderId="1" xfId="0" applyFont="1" applyFill="1" applyBorder="1" applyAlignment="1">
      <alignment horizontal="left" vertical="center" wrapText="1"/>
    </xf>
    <xf numFmtId="0" fontId="43" fillId="14" borderId="1" xfId="0" applyFont="1" applyFill="1" applyBorder="1" applyAlignment="1">
      <alignment horizontal="left" vertical="center" wrapText="1"/>
    </xf>
    <xf numFmtId="17" fontId="42" fillId="0" borderId="1" xfId="0" applyNumberFormat="1" applyFont="1" applyBorder="1" applyAlignment="1">
      <alignment horizontal="center" vertical="center" wrapText="1"/>
    </xf>
    <xf numFmtId="0" fontId="42" fillId="0" borderId="1" xfId="0" applyFont="1" applyBorder="1" applyAlignment="1">
      <alignment horizontal="center" vertical="center" wrapText="1"/>
    </xf>
    <xf numFmtId="0" fontId="41" fillId="0" borderId="1" xfId="0" quotePrefix="1" applyFont="1" applyBorder="1" applyAlignment="1">
      <alignment horizontal="left" vertical="center" wrapText="1"/>
    </xf>
    <xf numFmtId="0" fontId="41" fillId="0" borderId="1" xfId="0" applyFont="1" applyBorder="1" applyAlignment="1">
      <alignment horizontal="left" vertical="center" wrapText="1"/>
    </xf>
    <xf numFmtId="0" fontId="41" fillId="14" borderId="1" xfId="0" applyFont="1" applyFill="1" applyBorder="1" applyAlignment="1">
      <alignment horizontal="left" vertical="center" wrapText="1"/>
    </xf>
    <xf numFmtId="14" fontId="41" fillId="0" borderId="1" xfId="0" quotePrefix="1" applyNumberFormat="1" applyFont="1" applyBorder="1" applyAlignment="1">
      <alignment horizontal="center" vertical="center" wrapText="1"/>
    </xf>
    <xf numFmtId="0" fontId="41" fillId="0" borderId="1" xfId="0" applyFont="1" applyBorder="1" applyAlignment="1">
      <alignment horizontal="center" vertical="center" wrapText="1"/>
    </xf>
    <xf numFmtId="0" fontId="62" fillId="0" borderId="1" xfId="0" applyFont="1" applyBorder="1" applyAlignment="1">
      <alignment horizontal="left" vertical="center" wrapText="1"/>
    </xf>
    <xf numFmtId="0" fontId="52" fillId="0" borderId="1" xfId="0" applyFont="1" applyBorder="1" applyAlignment="1">
      <alignment horizontal="left" vertical="center" wrapText="1"/>
    </xf>
    <xf numFmtId="0" fontId="66" fillId="15" borderId="1" xfId="0" applyFont="1" applyFill="1" applyBorder="1" applyAlignment="1">
      <alignment horizontal="center" vertical="center"/>
    </xf>
    <xf numFmtId="0" fontId="54" fillId="0" borderId="1" xfId="0" quotePrefix="1" applyFont="1" applyBorder="1" applyAlignment="1">
      <alignment horizontal="center" vertical="center" wrapText="1"/>
    </xf>
    <xf numFmtId="0" fontId="46" fillId="14" borderId="1" xfId="0" applyFont="1" applyFill="1" applyBorder="1" applyAlignment="1">
      <alignment horizontal="center" vertical="center" wrapText="1"/>
    </xf>
    <xf numFmtId="0" fontId="51" fillId="14" borderId="1" xfId="0" quotePrefix="1" applyFont="1" applyFill="1" applyBorder="1" applyAlignment="1">
      <alignment horizontal="center" vertical="center" wrapText="1"/>
    </xf>
    <xf numFmtId="0" fontId="44" fillId="0" borderId="1" xfId="0" quotePrefix="1" applyFont="1" applyBorder="1" applyAlignment="1">
      <alignment horizontal="center" vertical="center" wrapText="1"/>
    </xf>
    <xf numFmtId="0" fontId="43" fillId="0" borderId="1" xfId="0" applyFont="1" applyBorder="1" applyAlignment="1">
      <alignment horizontal="center" vertical="center" wrapText="1"/>
    </xf>
    <xf numFmtId="0" fontId="42" fillId="14" borderId="1" xfId="0" applyFont="1" applyFill="1" applyBorder="1" applyAlignment="1">
      <alignment horizontal="center" vertical="center" wrapText="1"/>
    </xf>
    <xf numFmtId="0" fontId="46" fillId="0" borderId="1" xfId="0" applyFont="1" applyBorder="1" applyAlignment="1">
      <alignment horizontal="center" vertical="center" wrapText="1"/>
    </xf>
    <xf numFmtId="0" fontId="40" fillId="0" borderId="1" xfId="0" applyFont="1" applyBorder="1" applyAlignment="1">
      <alignment horizontal="center" vertical="center" wrapText="1"/>
    </xf>
    <xf numFmtId="17" fontId="40" fillId="0" borderId="1" xfId="0" applyNumberFormat="1" applyFont="1" applyBorder="1" applyAlignment="1">
      <alignment horizontal="center" vertical="center" wrapText="1"/>
    </xf>
    <xf numFmtId="0" fontId="40" fillId="0" borderId="1" xfId="0" quotePrefix="1" applyFont="1" applyBorder="1" applyAlignment="1">
      <alignment vertical="center" wrapText="1"/>
    </xf>
    <xf numFmtId="0" fontId="40" fillId="0" borderId="1" xfId="0" applyFont="1" applyBorder="1" applyAlignment="1">
      <alignment horizontal="left" vertical="center" wrapText="1"/>
    </xf>
    <xf numFmtId="0" fontId="40" fillId="0" borderId="1" xfId="0" quotePrefix="1" applyFont="1" applyBorder="1" applyAlignment="1">
      <alignment horizontal="center" vertical="center" wrapText="1"/>
    </xf>
    <xf numFmtId="0" fontId="38" fillId="14" borderId="1" xfId="0" quotePrefix="1" applyFont="1" applyFill="1" applyBorder="1" applyAlignment="1">
      <alignment horizontal="left" vertical="center" wrapText="1"/>
    </xf>
    <xf numFmtId="0" fontId="38" fillId="14" borderId="1" xfId="0" quotePrefix="1" applyFont="1" applyFill="1" applyBorder="1" applyAlignment="1">
      <alignment horizontal="center" vertical="center" wrapText="1"/>
    </xf>
    <xf numFmtId="0" fontId="38" fillId="0" borderId="1" xfId="0" applyFont="1" applyBorder="1" applyAlignment="1">
      <alignment horizontal="center" vertical="center" wrapText="1"/>
    </xf>
    <xf numFmtId="0" fontId="38" fillId="0" borderId="1" xfId="0" applyFont="1" applyBorder="1" applyAlignment="1">
      <alignment horizontal="left" vertical="center" wrapText="1"/>
    </xf>
    <xf numFmtId="0" fontId="38" fillId="14" borderId="1" xfId="0" applyFont="1" applyFill="1" applyBorder="1" applyAlignment="1">
      <alignment horizontal="left" vertical="center" wrapText="1"/>
    </xf>
    <xf numFmtId="0" fontId="37" fillId="17" borderId="1" xfId="0" applyFont="1" applyFill="1" applyBorder="1" applyAlignment="1">
      <alignment horizontal="center" vertical="center" wrapText="1"/>
    </xf>
    <xf numFmtId="0" fontId="37" fillId="0" borderId="1" xfId="0" applyFont="1" applyBorder="1" applyAlignment="1">
      <alignment vertical="center" wrapText="1"/>
    </xf>
    <xf numFmtId="0" fontId="37" fillId="0" borderId="1" xfId="0" applyFont="1" applyBorder="1" applyAlignment="1">
      <alignment horizontal="center" vertical="center" wrapText="1"/>
    </xf>
    <xf numFmtId="0" fontId="37" fillId="0" borderId="1" xfId="0" applyFont="1" applyBorder="1" applyAlignment="1">
      <alignment horizontal="left" vertical="center" wrapText="1"/>
    </xf>
    <xf numFmtId="0" fontId="37" fillId="0" borderId="1" xfId="0" quotePrefix="1" applyFont="1" applyBorder="1" applyAlignment="1">
      <alignment horizontal="left" vertical="center" wrapText="1"/>
    </xf>
    <xf numFmtId="0" fontId="37" fillId="0" borderId="1" xfId="0" quotePrefix="1" applyFont="1" applyBorder="1" applyAlignment="1">
      <alignment horizontal="center" vertical="center" wrapText="1"/>
    </xf>
    <xf numFmtId="0" fontId="40" fillId="14" borderId="1" xfId="0" applyFont="1" applyFill="1" applyBorder="1" applyAlignment="1">
      <alignment horizontal="left" vertical="center" wrapText="1"/>
    </xf>
    <xf numFmtId="0" fontId="53" fillId="14" borderId="1" xfId="0" applyFont="1" applyFill="1" applyBorder="1" applyAlignment="1">
      <alignment horizontal="left" vertical="center" wrapText="1"/>
    </xf>
    <xf numFmtId="0" fontId="36" fillId="14" borderId="1" xfId="0" quotePrefix="1" applyFont="1" applyFill="1" applyBorder="1" applyAlignment="1">
      <alignment horizontal="left" vertical="center" wrapText="1"/>
    </xf>
    <xf numFmtId="0" fontId="35" fillId="14" borderId="1" xfId="0" applyFont="1" applyFill="1" applyBorder="1" applyAlignment="1">
      <alignment horizontal="left" vertical="center" wrapText="1"/>
    </xf>
    <xf numFmtId="0" fontId="34" fillId="0" borderId="1" xfId="0" applyFont="1" applyBorder="1" applyAlignment="1">
      <alignment horizontal="left" vertical="center" wrapText="1"/>
    </xf>
    <xf numFmtId="0" fontId="34" fillId="0" borderId="1" xfId="0" quotePrefix="1" applyFont="1" applyBorder="1" applyAlignment="1">
      <alignment horizontal="center" vertical="center" wrapText="1"/>
    </xf>
    <xf numFmtId="0" fontId="34" fillId="14" borderId="1" xfId="0" applyFont="1" applyFill="1" applyBorder="1" applyAlignment="1">
      <alignment horizontal="left" vertical="center" wrapText="1"/>
    </xf>
    <xf numFmtId="0" fontId="33" fillId="0" borderId="1" xfId="0" applyFont="1" applyBorder="1" applyAlignment="1">
      <alignment horizontal="left" vertical="center" wrapText="1"/>
    </xf>
    <xf numFmtId="0" fontId="33" fillId="0" borderId="1" xfId="0" applyFont="1" applyBorder="1" applyAlignment="1">
      <alignment horizontal="center" vertical="center" wrapText="1"/>
    </xf>
    <xf numFmtId="0" fontId="32" fillId="0" borderId="1" xfId="0" quotePrefix="1" applyFont="1" applyBorder="1" applyAlignment="1">
      <alignment horizontal="center" vertical="center" wrapText="1"/>
    </xf>
    <xf numFmtId="0" fontId="32" fillId="0" borderId="1" xfId="0" applyFont="1" applyBorder="1" applyAlignment="1">
      <alignment horizontal="left" vertical="center" wrapText="1"/>
    </xf>
    <xf numFmtId="0" fontId="32"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1" fillId="0" borderId="1" xfId="0" applyFont="1" applyBorder="1" applyAlignment="1">
      <alignment vertical="center" wrapText="1"/>
    </xf>
    <xf numFmtId="17" fontId="30" fillId="14" borderId="1" xfId="0" applyNumberFormat="1" applyFont="1" applyFill="1" applyBorder="1" applyAlignment="1">
      <alignment horizontal="center" vertical="center" wrapText="1"/>
    </xf>
    <xf numFmtId="0" fontId="30" fillId="14" borderId="1" xfId="0" applyFont="1" applyFill="1" applyBorder="1" applyAlignment="1">
      <alignment horizontal="left" vertical="center" wrapText="1"/>
    </xf>
    <xf numFmtId="0" fontId="29" fillId="0" borderId="1" xfId="0" applyFont="1" applyBorder="1" applyAlignment="1">
      <alignment horizontal="left" vertical="center" wrapText="1"/>
    </xf>
    <xf numFmtId="0" fontId="29" fillId="14" borderId="1" xfId="0" applyFont="1" applyFill="1" applyBorder="1" applyAlignment="1">
      <alignment horizontal="center" vertical="center" wrapText="1"/>
    </xf>
    <xf numFmtId="14" fontId="80" fillId="0" borderId="0" xfId="0" applyNumberFormat="1" applyFont="1" applyAlignment="1">
      <alignment horizontal="center" vertical="center" wrapText="1"/>
    </xf>
    <xf numFmtId="0" fontId="28" fillId="14" borderId="1" xfId="0" applyFont="1" applyFill="1" applyBorder="1" applyAlignment="1">
      <alignment horizontal="left" vertical="center" wrapText="1"/>
    </xf>
    <xf numFmtId="0" fontId="81" fillId="0" borderId="1" xfId="0" applyFont="1" applyBorder="1" applyAlignment="1">
      <alignment horizontal="center" vertical="center" wrapText="1"/>
    </xf>
    <xf numFmtId="0" fontId="27" fillId="0" borderId="1" xfId="0" applyFont="1" applyBorder="1" applyAlignment="1">
      <alignment horizontal="left" vertical="center" wrapText="1"/>
    </xf>
    <xf numFmtId="0" fontId="27" fillId="0" borderId="1" xfId="0" applyFont="1" applyBorder="1" applyAlignment="1">
      <alignment horizontal="center" vertical="center" wrapText="1"/>
    </xf>
    <xf numFmtId="0" fontId="26" fillId="0" borderId="1" xfId="0" applyFont="1" applyBorder="1" applyAlignment="1">
      <alignment horizontal="center" vertical="center" wrapText="1"/>
    </xf>
    <xf numFmtId="0" fontId="25" fillId="0" borderId="1" xfId="0" quotePrefix="1" applyFont="1" applyBorder="1" applyAlignment="1">
      <alignment horizontal="left" vertical="center" wrapText="1"/>
    </xf>
    <xf numFmtId="0" fontId="25" fillId="0" borderId="1" xfId="0" quotePrefix="1" applyFont="1" applyBorder="1" applyAlignment="1">
      <alignment horizontal="center" vertical="center" wrapText="1"/>
    </xf>
    <xf numFmtId="0" fontId="24" fillId="14" borderId="1" xfId="0" applyFont="1" applyFill="1" applyBorder="1" applyAlignment="1">
      <alignment horizontal="center" vertical="center" wrapText="1"/>
    </xf>
    <xf numFmtId="0" fontId="24" fillId="14" borderId="1" xfId="0" applyFont="1" applyFill="1" applyBorder="1" applyAlignment="1">
      <alignment horizontal="left" vertical="center" wrapText="1"/>
    </xf>
    <xf numFmtId="0" fontId="23" fillId="0" borderId="1" xfId="0" applyFont="1" applyBorder="1" applyAlignment="1">
      <alignment horizontal="left" vertical="center" wrapText="1"/>
    </xf>
    <xf numFmtId="0" fontId="22" fillId="14" borderId="1" xfId="0" applyFont="1" applyFill="1" applyBorder="1" applyAlignment="1">
      <alignment horizontal="left" vertical="center" wrapText="1"/>
    </xf>
    <xf numFmtId="0" fontId="22" fillId="0" borderId="1" xfId="0" applyFont="1" applyBorder="1" applyAlignment="1">
      <alignment horizontal="left" vertical="center" wrapText="1"/>
    </xf>
    <xf numFmtId="17" fontId="21" fillId="0" borderId="1" xfId="0" applyNumberFormat="1" applyFont="1" applyBorder="1" applyAlignment="1">
      <alignment horizontal="center" vertical="center" wrapText="1"/>
    </xf>
    <xf numFmtId="0" fontId="21" fillId="14" borderId="1" xfId="0" quotePrefix="1" applyFont="1" applyFill="1" applyBorder="1" applyAlignment="1">
      <alignment horizontal="center" vertical="center" wrapText="1"/>
    </xf>
    <xf numFmtId="0" fontId="67" fillId="0" borderId="0" xfId="0" applyFont="1" applyAlignment="1">
      <alignment vertical="center" wrapText="1"/>
    </xf>
    <xf numFmtId="0" fontId="20" fillId="0" borderId="0" xfId="0" applyFont="1" applyAlignment="1">
      <alignment horizontal="center" vertical="center" wrapText="1"/>
    </xf>
    <xf numFmtId="0" fontId="19" fillId="0" borderId="1" xfId="0" applyFont="1" applyBorder="1" applyAlignment="1">
      <alignment horizontal="left" vertical="center" wrapText="1"/>
    </xf>
    <xf numFmtId="0" fontId="19" fillId="0" borderId="1" xfId="0" applyFont="1" applyBorder="1" applyAlignment="1">
      <alignment vertical="center" wrapText="1"/>
    </xf>
    <xf numFmtId="0" fontId="19" fillId="0" borderId="1" xfId="0" quotePrefix="1" applyFont="1" applyBorder="1" applyAlignment="1">
      <alignment horizontal="left" vertical="center" wrapText="1"/>
    </xf>
    <xf numFmtId="0" fontId="19" fillId="14" borderId="1" xfId="0" applyFont="1" applyFill="1" applyBorder="1" applyAlignment="1">
      <alignment horizontal="left" vertical="center" wrapText="1"/>
    </xf>
    <xf numFmtId="17" fontId="68" fillId="0" borderId="1" xfId="0" applyNumberFormat="1" applyFont="1" applyBorder="1" applyAlignment="1">
      <alignment horizontal="center" vertical="center" wrapText="1"/>
    </xf>
    <xf numFmtId="0" fontId="18" fillId="0" borderId="1" xfId="0" applyFont="1" applyBorder="1" applyAlignment="1">
      <alignment horizontal="left" vertical="center" wrapText="1"/>
    </xf>
    <xf numFmtId="0" fontId="18" fillId="0" borderId="1" xfId="0" applyFont="1" applyBorder="1" applyAlignment="1">
      <alignment horizontal="center" vertical="center" wrapText="1"/>
    </xf>
    <xf numFmtId="0" fontId="18" fillId="14" borderId="1" xfId="0" applyFont="1" applyFill="1" applyBorder="1" applyAlignment="1">
      <alignment horizontal="left" vertical="center" wrapText="1"/>
    </xf>
    <xf numFmtId="0" fontId="18" fillId="14" borderId="1" xfId="0" applyFont="1" applyFill="1" applyBorder="1" applyAlignment="1">
      <alignment vertical="center" wrapText="1"/>
    </xf>
    <xf numFmtId="0" fontId="18" fillId="14" borderId="1" xfId="0" applyFont="1" applyFill="1" applyBorder="1" applyAlignment="1">
      <alignment horizontal="center" vertical="center" wrapText="1"/>
    </xf>
    <xf numFmtId="0" fontId="18" fillId="0" borderId="1" xfId="0" applyFont="1" applyBorder="1" applyAlignment="1">
      <alignment vertical="center" wrapText="1"/>
    </xf>
    <xf numFmtId="17" fontId="18" fillId="0" borderId="1" xfId="0" applyNumberFormat="1" applyFont="1" applyBorder="1" applyAlignment="1">
      <alignment horizontal="center" vertical="center" wrapText="1"/>
    </xf>
    <xf numFmtId="0" fontId="17" fillId="0" borderId="1" xfId="0" applyFont="1" applyBorder="1" applyAlignment="1">
      <alignment horizontal="left" vertical="center" wrapText="1"/>
    </xf>
    <xf numFmtId="0" fontId="17" fillId="0" borderId="1" xfId="0" quotePrefix="1" applyFont="1" applyBorder="1" applyAlignment="1">
      <alignment horizontal="left" vertical="center" wrapText="1"/>
    </xf>
    <xf numFmtId="0" fontId="17" fillId="14" borderId="1" xfId="0" applyFont="1" applyFill="1" applyBorder="1" applyAlignment="1">
      <alignment horizontal="left" vertical="center" wrapText="1"/>
    </xf>
    <xf numFmtId="17" fontId="17" fillId="0" borderId="1" xfId="0" applyNumberFormat="1" applyFont="1" applyBorder="1" applyAlignment="1">
      <alignment horizontal="center" vertical="center" wrapText="1"/>
    </xf>
    <xf numFmtId="0" fontId="17" fillId="0" borderId="1" xfId="0" applyFont="1" applyBorder="1" applyAlignment="1">
      <alignment horizontal="center" vertical="center" wrapText="1"/>
    </xf>
    <xf numFmtId="17" fontId="17" fillId="14" borderId="1" xfId="0" applyNumberFormat="1" applyFont="1" applyFill="1" applyBorder="1" applyAlignment="1">
      <alignment horizontal="center" vertical="center" wrapText="1"/>
    </xf>
    <xf numFmtId="0" fontId="68" fillId="0" borderId="0" xfId="0" applyFont="1" applyAlignment="1">
      <alignment horizontal="center" vertical="center"/>
    </xf>
    <xf numFmtId="0" fontId="37" fillId="0" borderId="0" xfId="0" applyFont="1" applyAlignment="1">
      <alignment horizontal="center" vertical="center" wrapText="1"/>
    </xf>
    <xf numFmtId="0" fontId="39" fillId="0" borderId="0" xfId="0" applyFont="1" applyAlignment="1">
      <alignment horizontal="center" vertical="center" wrapText="1"/>
    </xf>
    <xf numFmtId="17" fontId="16" fillId="0" borderId="1" xfId="0" applyNumberFormat="1" applyFont="1" applyBorder="1" applyAlignment="1">
      <alignment horizontal="center" vertical="center" wrapText="1"/>
    </xf>
    <xf numFmtId="0" fontId="16" fillId="0" borderId="1" xfId="0" applyFont="1" applyBorder="1" applyAlignment="1">
      <alignment horizontal="left" vertical="center" wrapText="1"/>
    </xf>
    <xf numFmtId="0" fontId="16" fillId="14" borderId="1" xfId="0" applyFont="1" applyFill="1" applyBorder="1" applyAlignment="1">
      <alignment horizontal="left" vertical="center" wrapText="1"/>
    </xf>
    <xf numFmtId="0" fontId="16" fillId="14" borderId="1" xfId="0" applyFont="1" applyFill="1" applyBorder="1" applyAlignment="1">
      <alignment horizontal="center" vertical="center" wrapText="1"/>
    </xf>
    <xf numFmtId="17" fontId="16" fillId="14" borderId="1" xfId="0" applyNumberFormat="1" applyFont="1" applyFill="1" applyBorder="1" applyAlignment="1">
      <alignment horizontal="center" vertical="center" wrapText="1"/>
    </xf>
    <xf numFmtId="0" fontId="15" fillId="0" borderId="1" xfId="0" applyFont="1" applyBorder="1" applyAlignment="1">
      <alignment horizontal="center" vertical="center" wrapText="1"/>
    </xf>
    <xf numFmtId="0" fontId="15" fillId="0" borderId="1" xfId="0" applyFont="1" applyBorder="1" applyAlignment="1">
      <alignment horizontal="left" vertical="center" wrapText="1"/>
    </xf>
    <xf numFmtId="0" fontId="14" fillId="14" borderId="1" xfId="0" applyFont="1" applyFill="1" applyBorder="1" applyAlignment="1">
      <alignment horizontal="left" vertical="center" wrapText="1"/>
    </xf>
    <xf numFmtId="0" fontId="14" fillId="14" borderId="1" xfId="0" applyFont="1" applyFill="1" applyBorder="1" applyAlignment="1">
      <alignment horizontal="center" vertical="center" wrapText="1"/>
    </xf>
    <xf numFmtId="17" fontId="14" fillId="14" borderId="1" xfId="0" applyNumberFormat="1" applyFont="1" applyFill="1" applyBorder="1" applyAlignment="1">
      <alignment horizontal="center" vertical="center" wrapText="1"/>
    </xf>
    <xf numFmtId="0" fontId="14" fillId="0" borderId="1" xfId="0" applyFont="1" applyBorder="1" applyAlignment="1">
      <alignment horizontal="left" vertical="center" wrapText="1"/>
    </xf>
    <xf numFmtId="0" fontId="14" fillId="0" borderId="1" xfId="0" applyFont="1" applyBorder="1" applyAlignment="1">
      <alignment vertical="center" wrapText="1"/>
    </xf>
    <xf numFmtId="0" fontId="13" fillId="0" borderId="1" xfId="0" quotePrefix="1" applyFont="1" applyBorder="1" applyAlignment="1">
      <alignment horizontal="center" vertical="center" wrapText="1"/>
    </xf>
    <xf numFmtId="0" fontId="13" fillId="0" borderId="1" xfId="0" applyFont="1" applyBorder="1" applyAlignment="1">
      <alignment horizontal="center" vertical="center" wrapText="1"/>
    </xf>
    <xf numFmtId="0" fontId="12" fillId="0" borderId="1" xfId="0" applyFont="1" applyBorder="1" applyAlignment="1">
      <alignment horizontal="left" vertical="center" wrapText="1"/>
    </xf>
    <xf numFmtId="0" fontId="12" fillId="0" borderId="1" xfId="0" quotePrefix="1" applyFont="1" applyBorder="1" applyAlignment="1">
      <alignment horizontal="center" vertical="center" wrapText="1"/>
    </xf>
    <xf numFmtId="17" fontId="12" fillId="0" borderId="1" xfId="0" applyNumberFormat="1" applyFont="1" applyBorder="1" applyAlignment="1">
      <alignment horizontal="center" vertical="center" wrapText="1"/>
    </xf>
    <xf numFmtId="0" fontId="12" fillId="14" borderId="1" xfId="0" applyFont="1" applyFill="1" applyBorder="1" applyAlignment="1">
      <alignment horizontal="left" vertical="center" wrapText="1"/>
    </xf>
    <xf numFmtId="0" fontId="12" fillId="0" borderId="1" xfId="0" applyFont="1" applyBorder="1" applyAlignment="1">
      <alignment vertical="center" wrapText="1"/>
    </xf>
    <xf numFmtId="0" fontId="12" fillId="14" borderId="1" xfId="0" quotePrefix="1" applyFont="1" applyFill="1" applyBorder="1" applyAlignment="1">
      <alignment horizontal="left" vertical="center" wrapText="1"/>
    </xf>
    <xf numFmtId="0" fontId="11" fillId="0" borderId="1" xfId="0" applyFont="1" applyBorder="1" applyAlignment="1">
      <alignment horizontal="left"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17" fontId="11" fillId="0" borderId="1" xfId="0" applyNumberFormat="1" applyFont="1" applyBorder="1" applyAlignment="1">
      <alignment horizontal="center" vertical="center" wrapText="1"/>
    </xf>
    <xf numFmtId="0" fontId="10" fillId="0" borderId="1" xfId="0" applyFont="1" applyBorder="1" applyAlignment="1">
      <alignment horizontal="left" vertical="center" wrapText="1"/>
    </xf>
    <xf numFmtId="0" fontId="9" fillId="0" borderId="1" xfId="0" applyFont="1" applyBorder="1" applyAlignment="1">
      <alignment horizontal="left" vertical="center" wrapText="1"/>
    </xf>
    <xf numFmtId="0" fontId="9" fillId="0" borderId="1" xfId="0" applyFont="1" applyBorder="1" applyAlignment="1">
      <alignment horizontal="center" vertical="center" wrapText="1"/>
    </xf>
    <xf numFmtId="0" fontId="9" fillId="0" borderId="1" xfId="0" applyFont="1" applyBorder="1" applyAlignment="1">
      <alignment vertical="center" wrapText="1"/>
    </xf>
    <xf numFmtId="0" fontId="68" fillId="14" borderId="1" xfId="0" applyFont="1" applyFill="1" applyBorder="1" applyAlignment="1">
      <alignment horizontal="center" vertical="center" wrapText="1"/>
    </xf>
    <xf numFmtId="0" fontId="8" fillId="0" borderId="1" xfId="0" applyFont="1" applyBorder="1" applyAlignment="1">
      <alignment horizontal="left" vertical="center" wrapText="1"/>
    </xf>
    <xf numFmtId="0" fontId="68" fillId="14" borderId="1" xfId="0" applyFont="1" applyFill="1" applyBorder="1" applyAlignment="1">
      <alignment horizontal="left" vertical="center" wrapText="1"/>
    </xf>
    <xf numFmtId="0" fontId="68" fillId="0" borderId="0" xfId="0" applyFont="1" applyAlignment="1">
      <alignment horizontal="center" vertical="center" wrapText="1"/>
    </xf>
    <xf numFmtId="0" fontId="8" fillId="14" borderId="1" xfId="0" applyFont="1" applyFill="1" applyBorder="1" applyAlignment="1">
      <alignment vertical="center" wrapText="1"/>
    </xf>
    <xf numFmtId="0" fontId="63" fillId="0" borderId="1" xfId="0" applyFont="1" applyBorder="1" applyAlignment="1" applyProtection="1">
      <alignment horizontal="left" vertical="center" wrapText="1"/>
      <protection locked="0"/>
    </xf>
    <xf numFmtId="0" fontId="55" fillId="0" borderId="1" xfId="0" applyFont="1" applyBorder="1" applyAlignment="1">
      <alignment horizontal="left" vertical="center" wrapText="1"/>
    </xf>
    <xf numFmtId="17" fontId="7" fillId="0" borderId="1" xfId="0" applyNumberFormat="1" applyFont="1" applyBorder="1" applyAlignment="1">
      <alignment horizontal="center" vertical="center" wrapText="1"/>
    </xf>
    <xf numFmtId="0" fontId="7" fillId="0" borderId="1" xfId="0" applyFont="1" applyBorder="1" applyAlignment="1">
      <alignment horizontal="left" vertical="center" wrapText="1"/>
    </xf>
    <xf numFmtId="0" fontId="7"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17" fontId="6" fillId="0" borderId="1" xfId="0" applyNumberFormat="1" applyFont="1" applyBorder="1" applyAlignment="1">
      <alignment horizontal="center" vertical="center" wrapText="1"/>
    </xf>
    <xf numFmtId="0" fontId="6" fillId="0" borderId="1" xfId="0" applyFont="1" applyBorder="1" applyAlignment="1">
      <alignment vertical="center" wrapText="1"/>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17" fontId="5" fillId="0" borderId="1" xfId="0" applyNumberFormat="1" applyFont="1" applyBorder="1" applyAlignment="1">
      <alignment horizontal="center" vertical="center" wrapText="1"/>
    </xf>
    <xf numFmtId="0" fontId="5" fillId="14" borderId="1" xfId="0" quotePrefix="1" applyFont="1" applyFill="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4" fillId="14" borderId="1" xfId="0" applyFont="1" applyFill="1" applyBorder="1" applyAlignment="1">
      <alignment horizontal="left" vertical="center" wrapText="1"/>
    </xf>
    <xf numFmtId="17" fontId="4" fillId="14" borderId="1" xfId="0" applyNumberFormat="1" applyFont="1" applyFill="1" applyBorder="1" applyAlignment="1">
      <alignment horizontal="center" vertical="center" wrapText="1"/>
    </xf>
    <xf numFmtId="0" fontId="3" fillId="0" borderId="1" xfId="0" applyFont="1" applyBorder="1" applyAlignment="1">
      <alignment horizontal="center" vertical="center" wrapText="1"/>
    </xf>
    <xf numFmtId="17" fontId="3" fillId="0" borderId="1" xfId="0" applyNumberFormat="1" applyFont="1" applyBorder="1" applyAlignment="1">
      <alignment horizontal="center" vertical="center" wrapText="1"/>
    </xf>
    <xf numFmtId="0" fontId="82" fillId="0" borderId="1" xfId="0" applyFont="1" applyBorder="1" applyAlignment="1">
      <alignment vertical="center" wrapText="1"/>
    </xf>
    <xf numFmtId="0" fontId="82" fillId="0" borderId="14" xfId="0" applyFont="1" applyBorder="1" applyAlignment="1">
      <alignment vertical="center" wrapText="1"/>
    </xf>
    <xf numFmtId="17" fontId="3" fillId="14" borderId="1" xfId="0" applyNumberFormat="1" applyFont="1" applyFill="1" applyBorder="1" applyAlignment="1">
      <alignment horizontal="center" vertical="center" wrapText="1"/>
    </xf>
    <xf numFmtId="0" fontId="2" fillId="0" borderId="1" xfId="0" applyFont="1" applyBorder="1" applyAlignment="1">
      <alignment horizontal="left" vertical="center" wrapText="1"/>
    </xf>
    <xf numFmtId="0" fontId="2" fillId="14" borderId="1" xfId="0" applyFont="1" applyFill="1" applyBorder="1" applyAlignment="1">
      <alignment horizontal="left" vertical="center" wrapText="1"/>
    </xf>
    <xf numFmtId="0" fontId="67" fillId="0" borderId="7" xfId="0" applyFont="1" applyBorder="1" applyAlignment="1">
      <alignment horizontal="center" vertical="center" wrapText="1"/>
    </xf>
    <xf numFmtId="0" fontId="67" fillId="0" borderId="8" xfId="0" applyFont="1" applyBorder="1" applyAlignment="1">
      <alignment horizontal="center" vertical="center" wrapText="1"/>
    </xf>
    <xf numFmtId="0" fontId="67" fillId="0" borderId="9" xfId="0" applyFont="1" applyBorder="1" applyAlignment="1">
      <alignment horizontal="center" vertical="center" wrapText="1"/>
    </xf>
    <xf numFmtId="0" fontId="68" fillId="0" borderId="8" xfId="0" applyFont="1" applyBorder="1" applyAlignment="1">
      <alignment horizontal="center" vertical="center"/>
    </xf>
    <xf numFmtId="0" fontId="68" fillId="0" borderId="7" xfId="0" applyFont="1" applyBorder="1" applyAlignment="1">
      <alignment horizontal="center" vertical="center" wrapText="1"/>
    </xf>
    <xf numFmtId="0" fontId="63" fillId="0" borderId="8" xfId="0" applyFont="1" applyBorder="1" applyAlignment="1">
      <alignment horizontal="center" vertical="center" wrapText="1"/>
    </xf>
    <xf numFmtId="0" fontId="63" fillId="0" borderId="9" xfId="0" applyFont="1" applyBorder="1" applyAlignment="1">
      <alignment horizontal="center" vertical="center" wrapText="1"/>
    </xf>
    <xf numFmtId="14" fontId="68" fillId="0" borderId="7" xfId="0" quotePrefix="1" applyNumberFormat="1" applyFont="1" applyBorder="1" applyAlignment="1">
      <alignment horizontal="center" vertical="center" wrapText="1"/>
    </xf>
    <xf numFmtId="0" fontId="63" fillId="0" borderId="5" xfId="0" applyFont="1" applyBorder="1" applyAlignment="1">
      <alignment horizontal="center" vertical="center" wrapText="1"/>
    </xf>
    <xf numFmtId="0" fontId="63" fillId="0" borderId="6" xfId="0" applyFont="1" applyBorder="1" applyAlignment="1">
      <alignment horizontal="center" vertical="center" wrapText="1"/>
    </xf>
    <xf numFmtId="0" fontId="69" fillId="0" borderId="8" xfId="0" applyFont="1" applyBorder="1" applyAlignment="1">
      <alignment horizontal="center" vertical="center" wrapText="1"/>
    </xf>
    <xf numFmtId="0" fontId="68" fillId="0" borderId="8" xfId="0" applyFont="1" applyBorder="1" applyAlignment="1">
      <alignment horizontal="center" vertical="center" wrapText="1"/>
    </xf>
    <xf numFmtId="0" fontId="68" fillId="0" borderId="9" xfId="0" applyFont="1" applyBorder="1" applyAlignment="1">
      <alignment horizontal="center" vertical="center" wrapText="1"/>
    </xf>
    <xf numFmtId="14" fontId="68" fillId="0" borderId="8" xfId="0" applyNumberFormat="1" applyFont="1" applyBorder="1" applyAlignment="1">
      <alignment horizontal="center" vertical="center" wrapText="1"/>
    </xf>
    <xf numFmtId="14" fontId="68" fillId="0" borderId="9" xfId="0" applyNumberFormat="1" applyFont="1" applyBorder="1" applyAlignment="1">
      <alignment horizontal="center" vertical="center" wrapText="1"/>
    </xf>
    <xf numFmtId="0" fontId="66" fillId="9" borderId="10" xfId="0" applyFont="1" applyFill="1" applyBorder="1" applyAlignment="1">
      <alignment horizontal="center" vertical="center"/>
    </xf>
    <xf numFmtId="0" fontId="66" fillId="9" borderId="11" xfId="0" applyFont="1" applyFill="1" applyBorder="1" applyAlignment="1">
      <alignment horizontal="center" vertical="center"/>
    </xf>
    <xf numFmtId="0" fontId="66" fillId="9" borderId="12" xfId="0" applyFont="1" applyFill="1" applyBorder="1" applyAlignment="1">
      <alignment horizontal="center" vertical="center"/>
    </xf>
    <xf numFmtId="0" fontId="66" fillId="12" borderId="1" xfId="0" applyFont="1" applyFill="1" applyBorder="1" applyAlignment="1">
      <alignment horizontal="center" vertical="center" wrapText="1"/>
    </xf>
    <xf numFmtId="0" fontId="63" fillId="0" borderId="21" xfId="0" applyFont="1" applyBorder="1" applyAlignment="1">
      <alignment horizontal="left" vertical="center" wrapText="1"/>
    </xf>
    <xf numFmtId="0" fontId="63" fillId="0" borderId="22" xfId="0" applyFont="1" applyBorder="1" applyAlignment="1">
      <alignment horizontal="left" vertical="center" wrapText="1"/>
    </xf>
    <xf numFmtId="0" fontId="63" fillId="0" borderId="23" xfId="0" applyFont="1" applyBorder="1" applyAlignment="1">
      <alignment horizontal="left" vertical="center" wrapText="1"/>
    </xf>
    <xf numFmtId="49" fontId="63" fillId="3" borderId="13" xfId="0" applyNumberFormat="1" applyFont="1" applyFill="1" applyBorder="1" applyAlignment="1">
      <alignment horizontal="center" vertical="center"/>
    </xf>
    <xf numFmtId="49" fontId="63" fillId="3" borderId="1" xfId="0" applyNumberFormat="1" applyFont="1" applyFill="1" applyBorder="1" applyAlignment="1">
      <alignment horizontal="center" vertical="center"/>
    </xf>
    <xf numFmtId="0" fontId="63" fillId="3" borderId="1" xfId="0" applyFont="1" applyFill="1" applyBorder="1" applyAlignment="1">
      <alignment horizontal="left" vertical="center" wrapText="1"/>
    </xf>
    <xf numFmtId="0" fontId="63" fillId="3" borderId="14" xfId="0" applyFont="1" applyFill="1" applyBorder="1" applyAlignment="1">
      <alignment horizontal="left" vertical="center" wrapText="1"/>
    </xf>
    <xf numFmtId="49" fontId="63" fillId="8" borderId="13" xfId="0" applyNumberFormat="1" applyFont="1" applyFill="1" applyBorder="1" applyAlignment="1">
      <alignment horizontal="center" vertical="center"/>
    </xf>
    <xf numFmtId="49" fontId="63" fillId="8" borderId="1" xfId="0" applyNumberFormat="1" applyFont="1" applyFill="1" applyBorder="1" applyAlignment="1">
      <alignment horizontal="center" vertical="center"/>
    </xf>
    <xf numFmtId="0" fontId="63" fillId="8" borderId="1" xfId="0" applyFont="1" applyFill="1" applyBorder="1" applyAlignment="1">
      <alignment horizontal="left" vertical="center" wrapText="1"/>
    </xf>
    <xf numFmtId="0" fontId="63" fillId="8" borderId="14" xfId="0" applyFont="1" applyFill="1" applyBorder="1" applyAlignment="1">
      <alignment horizontal="left" vertical="center" wrapText="1"/>
    </xf>
    <xf numFmtId="49" fontId="63" fillId="2" borderId="15" xfId="0" applyNumberFormat="1" applyFont="1" applyFill="1" applyBorder="1" applyAlignment="1">
      <alignment horizontal="center" vertical="center"/>
    </xf>
    <xf numFmtId="49" fontId="63" fillId="2" borderId="16" xfId="0" applyNumberFormat="1" applyFont="1" applyFill="1" applyBorder="1" applyAlignment="1">
      <alignment horizontal="center" vertical="center"/>
    </xf>
    <xf numFmtId="0" fontId="63" fillId="2" borderId="16" xfId="0" applyFont="1" applyFill="1" applyBorder="1" applyAlignment="1">
      <alignment horizontal="left" vertical="center" wrapText="1"/>
    </xf>
    <xf numFmtId="0" fontId="63" fillId="2" borderId="17" xfId="0" applyFont="1" applyFill="1" applyBorder="1" applyAlignment="1">
      <alignment horizontal="left" vertical="center" wrapText="1"/>
    </xf>
    <xf numFmtId="0" fontId="67" fillId="6" borderId="13" xfId="0" applyFont="1" applyFill="1" applyBorder="1" applyAlignment="1">
      <alignment horizontal="center" vertical="center"/>
    </xf>
    <xf numFmtId="0" fontId="67" fillId="6" borderId="1" xfId="0" applyFont="1" applyFill="1" applyBorder="1" applyAlignment="1">
      <alignment horizontal="center" vertical="center"/>
    </xf>
    <xf numFmtId="0" fontId="67" fillId="7" borderId="1" xfId="0" applyFont="1" applyFill="1" applyBorder="1" applyAlignment="1">
      <alignment horizontal="center" vertical="center"/>
    </xf>
    <xf numFmtId="0" fontId="67" fillId="7" borderId="14" xfId="0" applyFont="1" applyFill="1" applyBorder="1" applyAlignment="1">
      <alignment horizontal="center" vertical="center"/>
    </xf>
    <xf numFmtId="49" fontId="63" fillId="4" borderId="13" xfId="0" applyNumberFormat="1" applyFont="1" applyFill="1" applyBorder="1" applyAlignment="1">
      <alignment horizontal="center" vertical="center"/>
    </xf>
    <xf numFmtId="49" fontId="63" fillId="4" borderId="1" xfId="0" applyNumberFormat="1" applyFont="1" applyFill="1" applyBorder="1" applyAlignment="1">
      <alignment horizontal="center" vertical="center"/>
    </xf>
    <xf numFmtId="0" fontId="63" fillId="4" borderId="1" xfId="0" applyFont="1" applyFill="1" applyBorder="1" applyAlignment="1">
      <alignment horizontal="left" vertical="center" wrapText="1"/>
    </xf>
    <xf numFmtId="0" fontId="63" fillId="4" borderId="14" xfId="0" applyFont="1" applyFill="1" applyBorder="1" applyAlignment="1">
      <alignment horizontal="left" vertical="center" wrapText="1"/>
    </xf>
    <xf numFmtId="0" fontId="76" fillId="0" borderId="13" xfId="0" applyFont="1" applyBorder="1" applyAlignment="1">
      <alignment horizontal="center" vertical="center" wrapText="1"/>
    </xf>
    <xf numFmtId="0" fontId="76" fillId="0" borderId="18" xfId="0" applyFont="1" applyBorder="1" applyAlignment="1">
      <alignment horizontal="center" vertical="center" wrapText="1"/>
    </xf>
    <xf numFmtId="0" fontId="66" fillId="5" borderId="1" xfId="0" applyFont="1" applyFill="1" applyBorder="1" applyAlignment="1">
      <alignment horizontal="center" vertical="center" wrapText="1"/>
    </xf>
    <xf numFmtId="0" fontId="67" fillId="3" borderId="1" xfId="0" applyFont="1" applyFill="1" applyBorder="1" applyAlignment="1">
      <alignment horizontal="center" vertical="center" wrapText="1"/>
    </xf>
    <xf numFmtId="0" fontId="66" fillId="2" borderId="1" xfId="0" applyFont="1" applyFill="1" applyBorder="1" applyAlignment="1">
      <alignment horizontal="center" vertical="center" wrapText="1"/>
    </xf>
    <xf numFmtId="0" fontId="66" fillId="13" borderId="1" xfId="0" applyFont="1" applyFill="1" applyBorder="1" applyAlignment="1">
      <alignment horizontal="center" vertical="center" wrapText="1"/>
    </xf>
    <xf numFmtId="0" fontId="67" fillId="11" borderId="1" xfId="0" applyFont="1" applyFill="1" applyBorder="1" applyAlignment="1">
      <alignment horizontal="center" vertical="center" wrapText="1"/>
    </xf>
    <xf numFmtId="0" fontId="67" fillId="11" borderId="3" xfId="0" applyFont="1" applyFill="1" applyBorder="1" applyAlignment="1">
      <alignment horizontal="center" vertical="center" wrapText="1"/>
    </xf>
    <xf numFmtId="0" fontId="67" fillId="11" borderId="4" xfId="0" applyFont="1" applyFill="1" applyBorder="1" applyAlignment="1">
      <alignment horizontal="center" vertical="center" wrapText="1"/>
    </xf>
    <xf numFmtId="0" fontId="67" fillId="11" borderId="20" xfId="0" applyFont="1" applyFill="1" applyBorder="1" applyAlignment="1">
      <alignment horizontal="center" vertical="center" wrapText="1"/>
    </xf>
    <xf numFmtId="0" fontId="63" fillId="0" borderId="3" xfId="0" applyFont="1" applyBorder="1" applyAlignment="1">
      <alignment horizontal="left" vertical="center" wrapText="1"/>
    </xf>
    <xf numFmtId="0" fontId="63" fillId="0" borderId="4" xfId="0" applyFont="1" applyBorder="1" applyAlignment="1">
      <alignment horizontal="left" vertical="center" wrapText="1"/>
    </xf>
    <xf numFmtId="0" fontId="63" fillId="0" borderId="20" xfId="0" applyFont="1" applyBorder="1" applyAlignment="1">
      <alignment horizontal="left" vertical="center" wrapText="1"/>
    </xf>
    <xf numFmtId="0" fontId="72" fillId="0" borderId="13" xfId="0" applyFont="1" applyBorder="1" applyAlignment="1">
      <alignment horizontal="left" vertical="center"/>
    </xf>
    <xf numFmtId="0" fontId="72" fillId="0" borderId="1" xfId="0" applyFont="1" applyBorder="1" applyAlignment="1">
      <alignment horizontal="left" vertical="center"/>
    </xf>
    <xf numFmtId="0" fontId="72" fillId="0" borderId="14" xfId="0" applyFont="1" applyBorder="1" applyAlignment="1">
      <alignment horizontal="left" vertical="center"/>
    </xf>
    <xf numFmtId="0" fontId="71" fillId="0" borderId="10" xfId="0" applyFont="1" applyBorder="1" applyAlignment="1">
      <alignment horizontal="center" vertical="center"/>
    </xf>
    <xf numFmtId="0" fontId="71" fillId="0" borderId="11" xfId="0" applyFont="1" applyBorder="1" applyAlignment="1">
      <alignment horizontal="center" vertical="center"/>
    </xf>
    <xf numFmtId="0" fontId="71" fillId="0" borderId="12" xfId="0" applyFont="1" applyBorder="1" applyAlignment="1">
      <alignment horizontal="center" vertical="center"/>
    </xf>
    <xf numFmtId="0" fontId="66" fillId="9" borderId="13" xfId="0" applyFont="1" applyFill="1" applyBorder="1" applyAlignment="1">
      <alignment horizontal="center" vertical="center"/>
    </xf>
    <xf numFmtId="0" fontId="66" fillId="9" borderId="1" xfId="0" applyFont="1" applyFill="1" applyBorder="1" applyAlignment="1">
      <alignment horizontal="center" vertical="center"/>
    </xf>
    <xf numFmtId="0" fontId="66" fillId="9" borderId="14" xfId="0" applyFont="1" applyFill="1" applyBorder="1" applyAlignment="1">
      <alignment horizontal="center" vertical="center"/>
    </xf>
    <xf numFmtId="0" fontId="74" fillId="0" borderId="13" xfId="0" applyFont="1" applyBorder="1" applyAlignment="1">
      <alignment horizontal="left" vertical="center" wrapText="1"/>
    </xf>
    <xf numFmtId="0" fontId="63" fillId="0" borderId="1" xfId="0" applyFont="1" applyBorder="1" applyAlignment="1">
      <alignment horizontal="left" vertical="center" wrapText="1"/>
    </xf>
    <xf numFmtId="0" fontId="63" fillId="0" borderId="14" xfId="0" applyFont="1" applyBorder="1" applyAlignment="1">
      <alignment horizontal="left" vertical="center" wrapText="1"/>
    </xf>
    <xf numFmtId="0" fontId="63" fillId="0" borderId="13" xfId="0" applyFont="1" applyBorder="1" applyAlignment="1">
      <alignment horizontal="left" vertical="center" wrapText="1"/>
    </xf>
    <xf numFmtId="17" fontId="1" fillId="0" borderId="1" xfId="0" applyNumberFormat="1"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quotePrefix="1" applyFont="1" applyBorder="1" applyAlignment="1">
      <alignment horizontal="left" vertical="center" wrapText="1"/>
    </xf>
    <xf numFmtId="0" fontId="1" fillId="0" borderId="0" xfId="0" applyFont="1" applyAlignment="1">
      <alignment horizontal="left" vertical="center" wrapText="1"/>
    </xf>
    <xf numFmtId="0" fontId="79" fillId="0" borderId="0" xfId="0" applyFont="1" applyAlignment="1">
      <alignment horizontal="left" vertical="center" wrapText="1"/>
    </xf>
  </cellXfs>
  <cellStyles count="2">
    <cellStyle name="Normal" xfId="0" builtinId="0"/>
    <cellStyle name="Normal 2" xfId="1" xr:uid="{00000000-0005-0000-0000-000001000000}"/>
  </cellStyles>
  <dxfs count="20">
    <dxf>
      <font>
        <color rgb="FF9C0006"/>
      </font>
      <fill>
        <patternFill>
          <bgColor rgb="FFFFC7CE"/>
        </patternFill>
      </fill>
    </dxf>
    <dxf>
      <font>
        <color theme="1"/>
      </font>
      <fill>
        <patternFill>
          <bgColor theme="5"/>
        </patternFill>
      </fill>
    </dxf>
    <dxf>
      <font>
        <color rgb="FF9C6500"/>
      </font>
      <fill>
        <patternFill>
          <bgColor rgb="FFFFEB9C"/>
        </patternFill>
      </fill>
    </dxf>
    <dxf>
      <font>
        <color theme="1"/>
      </font>
      <fill>
        <patternFill>
          <bgColor rgb="FFFFC000"/>
        </patternFill>
      </fill>
    </dxf>
    <dxf>
      <font>
        <color theme="7"/>
      </font>
      <fill>
        <patternFill>
          <bgColor rgb="FFFFFF00"/>
        </patternFill>
      </fill>
    </dxf>
    <dxf>
      <font>
        <color theme="7" tint="0.39994506668294322"/>
      </font>
      <fill>
        <patternFill>
          <bgColor rgb="FFFF0000"/>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s>
  <tableStyles count="0" defaultTableStyle="TableStyleMedium9" defaultPivotStyle="PivotStyleMedium7"/>
  <colors>
    <mruColors>
      <color rgb="FF00FF00"/>
      <color rgb="FF8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8466</xdr:rowOff>
    </xdr:from>
    <xdr:to>
      <xdr:col>0</xdr:col>
      <xdr:colOff>0</xdr:colOff>
      <xdr:row>0</xdr:row>
      <xdr:rowOff>745067</xdr:rowOff>
    </xdr:to>
    <xdr:pic>
      <xdr:nvPicPr>
        <xdr:cNvPr id="4" name="Resim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18346" t="65883" r="72415" b="15588"/>
        <a:stretch>
          <a:fillRect/>
        </a:stretch>
      </xdr:blipFill>
      <xdr:spPr bwMode="auto">
        <a:xfrm>
          <a:off x="1132945" y="8466"/>
          <a:ext cx="626269" cy="7366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eması">
  <a:themeElements>
    <a:clrScheme name="Ofis">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i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is">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W90"/>
  <sheetViews>
    <sheetView showGridLines="0" tabSelected="1" zoomScaleNormal="100" zoomScaleSheetLayoutView="90" zoomScalePageLayoutView="138" workbookViewId="0">
      <pane ySplit="6" topLeftCell="A7" activePane="bottomLeft" state="frozen"/>
      <selection pane="bottomLeft" activeCell="A88" sqref="A88:C88"/>
    </sheetView>
  </sheetViews>
  <sheetFormatPr defaultColWidth="10.59765625" defaultRowHeight="14.4" x14ac:dyDescent="0.3"/>
  <cols>
    <col min="1" max="2" width="10.69921875" style="24" customWidth="1"/>
    <col min="3" max="3" width="22.796875" style="5" bestFit="1" customWidth="1"/>
    <col min="4" max="4" width="41" style="24" customWidth="1"/>
    <col min="5" max="5" width="23.5" style="24" customWidth="1"/>
    <col min="6" max="8" width="10.09765625" style="5" customWidth="1"/>
    <col min="9" max="9" width="13.59765625" style="5" customWidth="1"/>
    <col min="10" max="10" width="38.09765625" style="5" customWidth="1"/>
    <col min="11" max="11" width="12.59765625" style="25" customWidth="1"/>
    <col min="12" max="12" width="14.5" style="5" customWidth="1"/>
    <col min="13" max="13" width="15.19921875" style="5" customWidth="1"/>
    <col min="14" max="14" width="20" style="5" bestFit="1" customWidth="1"/>
    <col min="15" max="15" width="20" style="5" customWidth="1"/>
    <col min="16" max="16" width="9.59765625" style="5" customWidth="1"/>
    <col min="17" max="17" width="7.19921875" style="5" customWidth="1"/>
    <col min="18" max="18" width="8.59765625" style="5" customWidth="1"/>
    <col min="19" max="19" width="27" style="25" customWidth="1"/>
    <col min="20" max="23" width="10" style="5" customWidth="1"/>
    <col min="24" max="16384" width="10.59765625" style="5"/>
  </cols>
  <sheetData>
    <row r="1" spans="1:23" ht="4.05" hidden="1" customHeight="1" x14ac:dyDescent="0.3">
      <c r="A1" s="270"/>
      <c r="B1" s="270"/>
      <c r="C1" s="270"/>
      <c r="D1" s="270"/>
      <c r="E1" s="270"/>
      <c r="F1" s="270"/>
      <c r="G1" s="270"/>
      <c r="H1" s="270"/>
      <c r="I1" s="270"/>
      <c r="J1" s="270"/>
      <c r="K1" s="270"/>
      <c r="L1" s="270"/>
      <c r="M1" s="270"/>
      <c r="N1" s="270"/>
      <c r="O1" s="270"/>
      <c r="P1" s="270"/>
      <c r="Q1" s="270"/>
      <c r="R1" s="270"/>
      <c r="S1" s="260" t="s">
        <v>36</v>
      </c>
      <c r="T1" s="261"/>
      <c r="U1" s="261"/>
      <c r="V1" s="262"/>
      <c r="W1" s="6"/>
    </row>
    <row r="2" spans="1:23" ht="4.05" hidden="1" customHeight="1" x14ac:dyDescent="0.3">
      <c r="A2" s="263"/>
      <c r="B2" s="263"/>
      <c r="C2" s="263"/>
      <c r="D2" s="263"/>
      <c r="E2" s="263"/>
      <c r="F2" s="263"/>
      <c r="G2" s="263"/>
      <c r="H2" s="263"/>
      <c r="I2" s="263"/>
      <c r="J2" s="263"/>
      <c r="K2" s="263"/>
      <c r="L2" s="263"/>
      <c r="M2" s="263"/>
      <c r="N2" s="263"/>
      <c r="O2" s="263"/>
      <c r="P2" s="263"/>
      <c r="Q2" s="263"/>
      <c r="R2" s="263"/>
      <c r="S2" s="263"/>
      <c r="T2" s="263"/>
      <c r="U2" s="263"/>
      <c r="V2" s="263"/>
      <c r="W2" s="199"/>
    </row>
    <row r="3" spans="1:23" ht="4.05" hidden="1" customHeight="1" x14ac:dyDescent="0.3">
      <c r="A3" s="271"/>
      <c r="B3" s="271"/>
      <c r="C3" s="272"/>
      <c r="D3" s="264" t="s">
        <v>35</v>
      </c>
      <c r="E3" s="265"/>
      <c r="F3" s="265"/>
      <c r="G3" s="265"/>
      <c r="H3" s="265"/>
      <c r="I3" s="265"/>
      <c r="J3" s="266"/>
      <c r="K3" s="102"/>
      <c r="L3" s="102"/>
      <c r="M3" s="102"/>
      <c r="N3" s="102"/>
      <c r="O3" s="102"/>
      <c r="P3" s="102"/>
      <c r="Q3" s="102"/>
      <c r="R3" s="102"/>
      <c r="S3" s="265"/>
      <c r="T3" s="265"/>
      <c r="U3" s="265"/>
      <c r="V3" s="266"/>
    </row>
    <row r="4" spans="1:23" ht="4.05" hidden="1" customHeight="1" x14ac:dyDescent="0.3">
      <c r="A4" s="273"/>
      <c r="B4" s="273"/>
      <c r="C4" s="274"/>
      <c r="D4" s="267" t="s">
        <v>37</v>
      </c>
      <c r="E4" s="265"/>
      <c r="F4" s="265"/>
      <c r="G4" s="265"/>
      <c r="H4" s="265"/>
      <c r="I4" s="265"/>
      <c r="J4" s="266"/>
      <c r="K4" s="103"/>
      <c r="L4" s="103"/>
      <c r="M4" s="103"/>
      <c r="N4" s="103"/>
      <c r="O4" s="103"/>
      <c r="P4" s="103"/>
      <c r="Q4" s="103"/>
      <c r="R4" s="103"/>
      <c r="S4" s="268"/>
      <c r="T4" s="268"/>
      <c r="U4" s="268"/>
      <c r="V4" s="269"/>
    </row>
    <row r="5" spans="1:23" ht="1.05" customHeight="1" x14ac:dyDescent="0.3">
      <c r="A5" s="5"/>
      <c r="B5" s="5"/>
      <c r="C5" s="6"/>
      <c r="D5" s="6"/>
      <c r="E5" s="6"/>
      <c r="F5" s="6"/>
      <c r="G5" s="6"/>
      <c r="H5" s="6"/>
      <c r="I5" s="6"/>
      <c r="J5" s="6"/>
      <c r="K5" s="179"/>
      <c r="L5" s="6"/>
      <c r="M5" s="6"/>
      <c r="N5" s="6"/>
      <c r="O5" s="6"/>
      <c r="P5" s="6"/>
      <c r="Q5" s="6"/>
      <c r="R5" s="6"/>
      <c r="S5" s="7"/>
      <c r="T5" s="8"/>
      <c r="U5" s="9"/>
      <c r="V5" s="9"/>
    </row>
    <row r="6" spans="1:23" ht="41.55" customHeight="1" x14ac:dyDescent="0.3">
      <c r="A6" s="10" t="s">
        <v>108</v>
      </c>
      <c r="B6" s="60" t="s">
        <v>212</v>
      </c>
      <c r="C6" s="10" t="s">
        <v>0</v>
      </c>
      <c r="D6" s="10" t="s">
        <v>31</v>
      </c>
      <c r="E6" s="10" t="s">
        <v>107</v>
      </c>
      <c r="F6" s="10" t="s">
        <v>351</v>
      </c>
      <c r="G6" s="10" t="s">
        <v>34</v>
      </c>
      <c r="H6" s="10" t="s">
        <v>352</v>
      </c>
      <c r="I6" s="10" t="s">
        <v>1</v>
      </c>
      <c r="J6" s="10" t="s">
        <v>29</v>
      </c>
      <c r="K6" s="60" t="s">
        <v>206</v>
      </c>
      <c r="L6" s="122" t="s">
        <v>207</v>
      </c>
      <c r="M6" s="122" t="s">
        <v>208</v>
      </c>
      <c r="N6" s="122" t="s">
        <v>211</v>
      </c>
      <c r="O6" s="122" t="s">
        <v>30</v>
      </c>
      <c r="P6" s="104" t="s">
        <v>441</v>
      </c>
      <c r="Q6" s="104" t="s">
        <v>34</v>
      </c>
      <c r="R6" s="104" t="s">
        <v>350</v>
      </c>
      <c r="S6" s="11" t="s">
        <v>180</v>
      </c>
      <c r="T6" s="10" t="s">
        <v>32</v>
      </c>
      <c r="U6" s="10" t="s">
        <v>33</v>
      </c>
      <c r="V6" s="10" t="s">
        <v>2</v>
      </c>
      <c r="W6" s="6"/>
    </row>
    <row r="7" spans="1:23" ht="43.2" x14ac:dyDescent="0.3">
      <c r="A7" s="12" t="s">
        <v>109</v>
      </c>
      <c r="B7" s="64" t="s">
        <v>100</v>
      </c>
      <c r="C7" s="12" t="s">
        <v>110</v>
      </c>
      <c r="D7" s="12" t="s">
        <v>111</v>
      </c>
      <c r="E7" s="193" t="s">
        <v>481</v>
      </c>
      <c r="F7" s="4">
        <v>1</v>
      </c>
      <c r="G7" s="4">
        <v>5</v>
      </c>
      <c r="H7" s="1">
        <f t="shared" ref="H7:H15" si="0">+F7*G7</f>
        <v>5</v>
      </c>
      <c r="I7" s="4" t="s">
        <v>195</v>
      </c>
      <c r="J7" s="193" t="s">
        <v>480</v>
      </c>
      <c r="K7" s="105" t="s">
        <v>229</v>
      </c>
      <c r="L7" s="105" t="s">
        <v>230</v>
      </c>
      <c r="M7" s="105" t="s">
        <v>209</v>
      </c>
      <c r="N7" s="223" t="s">
        <v>503</v>
      </c>
      <c r="O7" s="328" t="s">
        <v>570</v>
      </c>
      <c r="P7" s="4">
        <v>1</v>
      </c>
      <c r="Q7" s="4">
        <v>5</v>
      </c>
      <c r="R7" s="1">
        <f t="shared" ref="R7:R38" si="1">P7*Q7</f>
        <v>5</v>
      </c>
      <c r="S7" s="182" t="s">
        <v>475</v>
      </c>
      <c r="T7" s="3">
        <v>2</v>
      </c>
      <c r="U7" s="3">
        <v>5</v>
      </c>
      <c r="V7" s="3">
        <v>10</v>
      </c>
    </row>
    <row r="8" spans="1:23" ht="57.6" hidden="1" x14ac:dyDescent="0.3">
      <c r="A8" s="133" t="s">
        <v>120</v>
      </c>
      <c r="B8" s="65" t="s">
        <v>100</v>
      </c>
      <c r="C8" s="147" t="s">
        <v>243</v>
      </c>
      <c r="D8" s="72" t="s">
        <v>231</v>
      </c>
      <c r="E8" s="193" t="s">
        <v>481</v>
      </c>
      <c r="F8" s="4">
        <v>1</v>
      </c>
      <c r="G8" s="4">
        <v>5</v>
      </c>
      <c r="H8" s="1">
        <f t="shared" si="0"/>
        <v>5</v>
      </c>
      <c r="I8" s="130" t="s">
        <v>120</v>
      </c>
      <c r="J8" s="244" t="s">
        <v>533</v>
      </c>
      <c r="K8" s="105" t="s">
        <v>226</v>
      </c>
      <c r="L8" s="105" t="s">
        <v>233</v>
      </c>
      <c r="M8" s="245" t="s">
        <v>221</v>
      </c>
      <c r="N8" s="245" t="s">
        <v>534</v>
      </c>
      <c r="O8" s="246" t="s">
        <v>232</v>
      </c>
      <c r="P8" s="4">
        <v>1</v>
      </c>
      <c r="Q8" s="4">
        <v>5</v>
      </c>
      <c r="R8" s="1">
        <f t="shared" si="1"/>
        <v>5</v>
      </c>
      <c r="S8" s="132" t="s">
        <v>182</v>
      </c>
      <c r="T8" s="3" t="s">
        <v>182</v>
      </c>
      <c r="U8" s="3" t="s">
        <v>182</v>
      </c>
      <c r="V8" s="3" t="s">
        <v>182</v>
      </c>
    </row>
    <row r="9" spans="1:23" ht="61.05" customHeight="1" x14ac:dyDescent="0.3">
      <c r="A9" s="12" t="s">
        <v>112</v>
      </c>
      <c r="B9" s="65" t="s">
        <v>100</v>
      </c>
      <c r="C9" s="17" t="s">
        <v>113</v>
      </c>
      <c r="D9" s="149" t="s">
        <v>270</v>
      </c>
      <c r="E9" s="193" t="s">
        <v>481</v>
      </c>
      <c r="F9" s="4">
        <v>1</v>
      </c>
      <c r="G9" s="4">
        <v>5</v>
      </c>
      <c r="H9" s="1">
        <f t="shared" si="0"/>
        <v>5</v>
      </c>
      <c r="I9" s="4" t="s">
        <v>195</v>
      </c>
      <c r="J9" s="193" t="s">
        <v>480</v>
      </c>
      <c r="K9" s="105" t="s">
        <v>232</v>
      </c>
      <c r="L9" s="105" t="s">
        <v>233</v>
      </c>
      <c r="M9" s="105" t="s">
        <v>223</v>
      </c>
      <c r="N9" s="157" t="s">
        <v>445</v>
      </c>
      <c r="O9" s="131" t="s">
        <v>232</v>
      </c>
      <c r="P9" s="4">
        <v>1</v>
      </c>
      <c r="Q9" s="4">
        <v>5</v>
      </c>
      <c r="R9" s="1">
        <f t="shared" si="1"/>
        <v>5</v>
      </c>
      <c r="S9" s="182" t="s">
        <v>476</v>
      </c>
      <c r="T9" s="3">
        <v>2</v>
      </c>
      <c r="U9" s="3">
        <v>5</v>
      </c>
      <c r="V9" s="3">
        <v>10</v>
      </c>
    </row>
    <row r="10" spans="1:23" ht="28.8" x14ac:dyDescent="0.3">
      <c r="A10" s="12" t="s">
        <v>114</v>
      </c>
      <c r="B10" s="65" t="s">
        <v>38</v>
      </c>
      <c r="C10" s="17" t="s">
        <v>115</v>
      </c>
      <c r="D10" s="146" t="s">
        <v>390</v>
      </c>
      <c r="E10" s="13" t="s">
        <v>162</v>
      </c>
      <c r="F10" s="4">
        <v>1</v>
      </c>
      <c r="G10" s="4">
        <v>3</v>
      </c>
      <c r="H10" s="1">
        <f t="shared" si="0"/>
        <v>3</v>
      </c>
      <c r="I10" s="14" t="s">
        <v>130</v>
      </c>
      <c r="J10" s="13" t="s">
        <v>196</v>
      </c>
      <c r="K10" s="123" t="s">
        <v>219</v>
      </c>
      <c r="L10" s="123" t="s">
        <v>220</v>
      </c>
      <c r="M10" s="123" t="s">
        <v>221</v>
      </c>
      <c r="N10" s="155" t="s">
        <v>446</v>
      </c>
      <c r="O10" s="329" t="s">
        <v>519</v>
      </c>
      <c r="P10" s="4">
        <v>1</v>
      </c>
      <c r="Q10" s="4">
        <v>3</v>
      </c>
      <c r="R10" s="1">
        <f t="shared" si="1"/>
        <v>3</v>
      </c>
      <c r="S10" s="15" t="s">
        <v>182</v>
      </c>
      <c r="T10" s="3" t="s">
        <v>182</v>
      </c>
      <c r="U10" s="3" t="s">
        <v>182</v>
      </c>
      <c r="V10" s="3" t="s">
        <v>182</v>
      </c>
    </row>
    <row r="11" spans="1:23" ht="46.95" customHeight="1" x14ac:dyDescent="0.3">
      <c r="A11" s="12" t="s">
        <v>109</v>
      </c>
      <c r="B11" s="65" t="s">
        <v>39</v>
      </c>
      <c r="C11" s="59" t="s">
        <v>116</v>
      </c>
      <c r="D11" s="146" t="s">
        <v>391</v>
      </c>
      <c r="E11" s="194" t="s">
        <v>481</v>
      </c>
      <c r="F11" s="4">
        <v>2</v>
      </c>
      <c r="G11" s="4">
        <v>5</v>
      </c>
      <c r="H11" s="1">
        <f t="shared" si="0"/>
        <v>10</v>
      </c>
      <c r="I11" s="118" t="s">
        <v>195</v>
      </c>
      <c r="J11" s="183" t="s">
        <v>477</v>
      </c>
      <c r="K11" s="134" t="s">
        <v>241</v>
      </c>
      <c r="L11" s="134" t="s">
        <v>233</v>
      </c>
      <c r="M11" s="123" t="s">
        <v>221</v>
      </c>
      <c r="N11" s="134" t="s">
        <v>392</v>
      </c>
      <c r="O11" s="131">
        <v>45627</v>
      </c>
      <c r="P11" s="4">
        <v>2</v>
      </c>
      <c r="Q11" s="4">
        <v>5</v>
      </c>
      <c r="R11" s="1">
        <f t="shared" si="1"/>
        <v>10</v>
      </c>
      <c r="S11" s="15" t="s">
        <v>182</v>
      </c>
      <c r="T11" s="3" t="s">
        <v>182</v>
      </c>
      <c r="U11" s="3" t="s">
        <v>182</v>
      </c>
      <c r="V11" s="3" t="s">
        <v>182</v>
      </c>
    </row>
    <row r="12" spans="1:23" ht="59.1" customHeight="1" x14ac:dyDescent="0.3">
      <c r="A12" s="12" t="s">
        <v>109</v>
      </c>
      <c r="B12" s="65" t="s">
        <v>100</v>
      </c>
      <c r="C12" s="17" t="s">
        <v>117</v>
      </c>
      <c r="D12" s="72" t="s">
        <v>118</v>
      </c>
      <c r="E12" s="193" t="s">
        <v>481</v>
      </c>
      <c r="F12" s="4">
        <v>1</v>
      </c>
      <c r="G12" s="4">
        <v>3</v>
      </c>
      <c r="H12" s="1">
        <f t="shared" si="0"/>
        <v>3</v>
      </c>
      <c r="I12" s="4" t="s">
        <v>195</v>
      </c>
      <c r="J12" s="181" t="s">
        <v>478</v>
      </c>
      <c r="K12" s="119" t="s">
        <v>232</v>
      </c>
      <c r="L12" s="223" t="s">
        <v>220</v>
      </c>
      <c r="M12" s="119" t="s">
        <v>221</v>
      </c>
      <c r="N12" s="130" t="s">
        <v>393</v>
      </c>
      <c r="O12" s="328" t="s">
        <v>519</v>
      </c>
      <c r="P12" s="4">
        <v>1</v>
      </c>
      <c r="Q12" s="4">
        <v>3</v>
      </c>
      <c r="R12" s="1">
        <f t="shared" si="1"/>
        <v>3</v>
      </c>
      <c r="S12" s="16" t="s">
        <v>197</v>
      </c>
      <c r="T12" s="3">
        <v>2</v>
      </c>
      <c r="U12" s="3">
        <v>3</v>
      </c>
      <c r="V12" s="3">
        <v>6</v>
      </c>
    </row>
    <row r="13" spans="1:23" ht="28.8" x14ac:dyDescent="0.3">
      <c r="A13" s="12" t="s">
        <v>109</v>
      </c>
      <c r="B13" s="64" t="s">
        <v>100</v>
      </c>
      <c r="C13" s="120" t="s">
        <v>117</v>
      </c>
      <c r="D13" s="162" t="s">
        <v>449</v>
      </c>
      <c r="E13" s="193" t="s">
        <v>481</v>
      </c>
      <c r="F13" s="4">
        <v>1</v>
      </c>
      <c r="G13" s="4">
        <v>3</v>
      </c>
      <c r="H13" s="1">
        <f t="shared" si="0"/>
        <v>3</v>
      </c>
      <c r="I13" s="119" t="s">
        <v>382</v>
      </c>
      <c r="J13" s="116" t="s">
        <v>386</v>
      </c>
      <c r="K13" s="223" t="s">
        <v>504</v>
      </c>
      <c r="L13" s="223" t="s">
        <v>220</v>
      </c>
      <c r="M13" s="119" t="s">
        <v>223</v>
      </c>
      <c r="N13" s="223" t="s">
        <v>505</v>
      </c>
      <c r="O13" s="202">
        <v>45627</v>
      </c>
      <c r="P13" s="4">
        <v>1</v>
      </c>
      <c r="Q13" s="4">
        <v>3</v>
      </c>
      <c r="R13" s="1">
        <f t="shared" si="1"/>
        <v>3</v>
      </c>
      <c r="S13" s="16"/>
      <c r="T13" s="3" t="s">
        <v>182</v>
      </c>
      <c r="U13" s="3" t="s">
        <v>182</v>
      </c>
      <c r="V13" s="3" t="s">
        <v>182</v>
      </c>
    </row>
    <row r="14" spans="1:23" ht="45.6" customHeight="1" x14ac:dyDescent="0.3">
      <c r="A14" s="12" t="s">
        <v>109</v>
      </c>
      <c r="B14" s="64" t="s">
        <v>100</v>
      </c>
      <c r="C14" s="120" t="s">
        <v>117</v>
      </c>
      <c r="D14" s="181" t="s">
        <v>394</v>
      </c>
      <c r="E14" s="193" t="s">
        <v>481</v>
      </c>
      <c r="F14" s="4">
        <v>1</v>
      </c>
      <c r="G14" s="4">
        <v>5</v>
      </c>
      <c r="H14" s="1">
        <f t="shared" si="0"/>
        <v>5</v>
      </c>
      <c r="I14" s="74" t="s">
        <v>195</v>
      </c>
      <c r="J14" s="226" t="s">
        <v>509</v>
      </c>
      <c r="K14" s="223" t="s">
        <v>266</v>
      </c>
      <c r="L14" s="223" t="s">
        <v>220</v>
      </c>
      <c r="M14" s="74" t="s">
        <v>221</v>
      </c>
      <c r="N14" s="223" t="s">
        <v>506</v>
      </c>
      <c r="O14" s="328" t="s">
        <v>519</v>
      </c>
      <c r="P14" s="4">
        <v>1</v>
      </c>
      <c r="Q14" s="4">
        <v>5</v>
      </c>
      <c r="R14" s="1">
        <f t="shared" si="1"/>
        <v>5</v>
      </c>
      <c r="S14" s="76" t="s">
        <v>182</v>
      </c>
      <c r="T14" s="3" t="s">
        <v>182</v>
      </c>
      <c r="U14" s="3" t="s">
        <v>182</v>
      </c>
      <c r="V14" s="3" t="s">
        <v>182</v>
      </c>
    </row>
    <row r="15" spans="1:23" ht="72" x14ac:dyDescent="0.3">
      <c r="A15" s="89" t="s">
        <v>109</v>
      </c>
      <c r="B15" s="65" t="s">
        <v>214</v>
      </c>
      <c r="C15" s="152" t="s">
        <v>434</v>
      </c>
      <c r="D15" s="152" t="s">
        <v>435</v>
      </c>
      <c r="E15" s="195" t="s">
        <v>481</v>
      </c>
      <c r="F15" s="3">
        <v>2</v>
      </c>
      <c r="G15" s="230">
        <v>4</v>
      </c>
      <c r="H15" s="1">
        <f t="shared" si="0"/>
        <v>8</v>
      </c>
      <c r="I15" s="74" t="s">
        <v>195</v>
      </c>
      <c r="J15" s="330" t="s">
        <v>571</v>
      </c>
      <c r="K15" s="134" t="s">
        <v>241</v>
      </c>
      <c r="L15" s="134" t="s">
        <v>233</v>
      </c>
      <c r="M15" s="123" t="s">
        <v>221</v>
      </c>
      <c r="N15" s="151" t="s">
        <v>436</v>
      </c>
      <c r="O15" s="131">
        <v>45627</v>
      </c>
      <c r="P15" s="4">
        <v>2</v>
      </c>
      <c r="Q15" s="4">
        <v>4</v>
      </c>
      <c r="R15" s="1">
        <f t="shared" ref="R15" si="2">P15*Q15</f>
        <v>8</v>
      </c>
      <c r="S15" s="76" t="s">
        <v>182</v>
      </c>
      <c r="T15" s="3" t="s">
        <v>182</v>
      </c>
      <c r="U15" s="3" t="s">
        <v>182</v>
      </c>
      <c r="V15" s="3" t="s">
        <v>182</v>
      </c>
    </row>
    <row r="16" spans="1:23" ht="57.6" x14ac:dyDescent="0.3">
      <c r="A16" s="89" t="s">
        <v>109</v>
      </c>
      <c r="B16" s="133" t="s">
        <v>216</v>
      </c>
      <c r="C16" s="89" t="s">
        <v>321</v>
      </c>
      <c r="D16" s="222" t="s">
        <v>507</v>
      </c>
      <c r="E16" s="193" t="s">
        <v>481</v>
      </c>
      <c r="F16" s="4">
        <v>1</v>
      </c>
      <c r="G16" s="4">
        <v>3</v>
      </c>
      <c r="H16" s="1">
        <f t="shared" ref="H16:H46" si="3">+F16*G16</f>
        <v>3</v>
      </c>
      <c r="I16" s="4" t="s">
        <v>195</v>
      </c>
      <c r="J16" s="184" t="s">
        <v>479</v>
      </c>
      <c r="K16" s="124" t="s">
        <v>322</v>
      </c>
      <c r="L16" s="124" t="s">
        <v>311</v>
      </c>
      <c r="M16" s="124" t="s">
        <v>221</v>
      </c>
      <c r="N16" s="163" t="s">
        <v>325</v>
      </c>
      <c r="O16" s="90" t="s">
        <v>323</v>
      </c>
      <c r="P16" s="4">
        <v>1</v>
      </c>
      <c r="Q16" s="4">
        <v>3</v>
      </c>
      <c r="R16" s="1">
        <f t="shared" si="1"/>
        <v>3</v>
      </c>
      <c r="S16" s="16" t="s">
        <v>182</v>
      </c>
      <c r="T16" s="3" t="s">
        <v>182</v>
      </c>
      <c r="U16" s="3" t="s">
        <v>182</v>
      </c>
      <c r="V16" s="3" t="s">
        <v>182</v>
      </c>
    </row>
    <row r="17" spans="1:22" ht="45.6" hidden="1" customHeight="1" x14ac:dyDescent="0.3">
      <c r="A17" s="235" t="s">
        <v>120</v>
      </c>
      <c r="B17" s="66" t="s">
        <v>100</v>
      </c>
      <c r="C17" s="12" t="s">
        <v>121</v>
      </c>
      <c r="D17" s="12" t="s">
        <v>122</v>
      </c>
      <c r="E17" s="79" t="s">
        <v>164</v>
      </c>
      <c r="F17" s="4">
        <v>1</v>
      </c>
      <c r="G17" s="4">
        <v>4</v>
      </c>
      <c r="H17" s="1">
        <f t="shared" si="3"/>
        <v>4</v>
      </c>
      <c r="I17" s="18" t="s">
        <v>120</v>
      </c>
      <c r="J17" s="78" t="s">
        <v>199</v>
      </c>
      <c r="K17" s="125" t="s">
        <v>226</v>
      </c>
      <c r="L17" s="125" t="s">
        <v>233</v>
      </c>
      <c r="M17" s="125" t="s">
        <v>221</v>
      </c>
      <c r="N17" s="125" t="s">
        <v>247</v>
      </c>
      <c r="O17" s="246" t="s">
        <v>535</v>
      </c>
      <c r="P17" s="4">
        <v>1</v>
      </c>
      <c r="Q17" s="4">
        <v>4</v>
      </c>
      <c r="R17" s="1">
        <f t="shared" si="1"/>
        <v>4</v>
      </c>
      <c r="S17" s="20" t="s">
        <v>182</v>
      </c>
      <c r="T17" s="3" t="s">
        <v>182</v>
      </c>
      <c r="U17" s="3" t="s">
        <v>182</v>
      </c>
      <c r="V17" s="3" t="s">
        <v>182</v>
      </c>
    </row>
    <row r="18" spans="1:22" ht="72" hidden="1" x14ac:dyDescent="0.3">
      <c r="A18" s="12" t="s">
        <v>120</v>
      </c>
      <c r="B18" s="64" t="s">
        <v>214</v>
      </c>
      <c r="C18" s="12" t="s">
        <v>123</v>
      </c>
      <c r="D18" s="79" t="s">
        <v>248</v>
      </c>
      <c r="E18" s="78" t="s">
        <v>198</v>
      </c>
      <c r="F18" s="4">
        <v>2</v>
      </c>
      <c r="G18" s="4">
        <v>2</v>
      </c>
      <c r="H18" s="1">
        <f t="shared" si="3"/>
        <v>4</v>
      </c>
      <c r="I18" s="4" t="s">
        <v>120</v>
      </c>
      <c r="J18" s="247" t="s">
        <v>536</v>
      </c>
      <c r="K18" s="178" t="s">
        <v>234</v>
      </c>
      <c r="L18" s="125" t="s">
        <v>233</v>
      </c>
      <c r="M18" s="125" t="s">
        <v>221</v>
      </c>
      <c r="N18" s="125" t="s">
        <v>250</v>
      </c>
      <c r="O18" s="177">
        <v>45627</v>
      </c>
      <c r="P18" s="4">
        <v>2</v>
      </c>
      <c r="Q18" s="4">
        <v>2</v>
      </c>
      <c r="R18" s="1">
        <f t="shared" si="1"/>
        <v>4</v>
      </c>
      <c r="S18" s="80" t="s">
        <v>249</v>
      </c>
      <c r="T18" s="3">
        <v>2</v>
      </c>
      <c r="U18" s="3">
        <v>3</v>
      </c>
      <c r="V18" s="3">
        <v>6</v>
      </c>
    </row>
    <row r="19" spans="1:22" ht="51.6" hidden="1" customHeight="1" x14ac:dyDescent="0.3">
      <c r="A19" s="12" t="s">
        <v>120</v>
      </c>
      <c r="B19" s="64" t="s">
        <v>214</v>
      </c>
      <c r="C19" s="12" t="s">
        <v>124</v>
      </c>
      <c r="D19" s="231" t="s">
        <v>510</v>
      </c>
      <c r="E19" s="13" t="s">
        <v>165</v>
      </c>
      <c r="F19" s="4">
        <v>1</v>
      </c>
      <c r="G19" s="4">
        <v>3</v>
      </c>
      <c r="H19" s="1">
        <f t="shared" si="3"/>
        <v>3</v>
      </c>
      <c r="I19" s="4" t="s">
        <v>120</v>
      </c>
      <c r="J19" s="247" t="s">
        <v>537</v>
      </c>
      <c r="K19" s="125" t="s">
        <v>234</v>
      </c>
      <c r="L19" s="125" t="s">
        <v>220</v>
      </c>
      <c r="M19" s="125" t="s">
        <v>221</v>
      </c>
      <c r="N19" s="125" t="s">
        <v>251</v>
      </c>
      <c r="O19" s="246" t="s">
        <v>538</v>
      </c>
      <c r="P19" s="4">
        <v>1</v>
      </c>
      <c r="Q19" s="4">
        <v>3</v>
      </c>
      <c r="R19" s="1">
        <f t="shared" si="1"/>
        <v>3</v>
      </c>
      <c r="S19" s="80" t="s">
        <v>252</v>
      </c>
      <c r="T19" s="3">
        <v>2</v>
      </c>
      <c r="U19" s="3">
        <v>3</v>
      </c>
      <c r="V19" s="3">
        <v>6</v>
      </c>
    </row>
    <row r="20" spans="1:22" ht="43.2" hidden="1" x14ac:dyDescent="0.3">
      <c r="A20" s="12" t="s">
        <v>125</v>
      </c>
      <c r="B20" s="98" t="s">
        <v>216</v>
      </c>
      <c r="C20" s="216" t="s">
        <v>126</v>
      </c>
      <c r="D20" s="216" t="s">
        <v>496</v>
      </c>
      <c r="E20" s="19" t="s">
        <v>163</v>
      </c>
      <c r="F20" s="4">
        <v>2</v>
      </c>
      <c r="G20" s="4">
        <v>4</v>
      </c>
      <c r="H20" s="1">
        <f t="shared" si="3"/>
        <v>8</v>
      </c>
      <c r="I20" s="4" t="s">
        <v>125</v>
      </c>
      <c r="J20" s="115" t="s">
        <v>383</v>
      </c>
      <c r="K20" s="217" t="s">
        <v>266</v>
      </c>
      <c r="L20" s="126" t="s">
        <v>233</v>
      </c>
      <c r="M20" s="126" t="s">
        <v>221</v>
      </c>
      <c r="N20" s="126" t="s">
        <v>346</v>
      </c>
      <c r="O20" s="218" t="s">
        <v>232</v>
      </c>
      <c r="P20" s="4">
        <v>1</v>
      </c>
      <c r="Q20" s="4">
        <v>4</v>
      </c>
      <c r="R20" s="1">
        <f t="shared" si="1"/>
        <v>4</v>
      </c>
      <c r="S20" s="15" t="s">
        <v>194</v>
      </c>
      <c r="T20" s="3">
        <v>3</v>
      </c>
      <c r="U20" s="3">
        <v>4</v>
      </c>
      <c r="V20" s="3">
        <v>12</v>
      </c>
    </row>
    <row r="21" spans="1:22" ht="43.2" hidden="1" x14ac:dyDescent="0.3">
      <c r="A21" s="64" t="s">
        <v>213</v>
      </c>
      <c r="B21" s="64" t="s">
        <v>214</v>
      </c>
      <c r="C21" s="12" t="s">
        <v>127</v>
      </c>
      <c r="D21" s="107" t="s">
        <v>356</v>
      </c>
      <c r="E21" s="106" t="s">
        <v>355</v>
      </c>
      <c r="F21" s="4">
        <v>1</v>
      </c>
      <c r="G21" s="4">
        <v>2</v>
      </c>
      <c r="H21" s="1">
        <f t="shared" si="3"/>
        <v>2</v>
      </c>
      <c r="I21" s="71" t="s">
        <v>213</v>
      </c>
      <c r="J21" s="148" t="s">
        <v>433</v>
      </c>
      <c r="K21" s="110" t="s">
        <v>226</v>
      </c>
      <c r="L21" s="110" t="s">
        <v>220</v>
      </c>
      <c r="M21" s="110" t="s">
        <v>357</v>
      </c>
      <c r="N21" s="110" t="s">
        <v>358</v>
      </c>
      <c r="O21" s="252" t="s">
        <v>556</v>
      </c>
      <c r="P21" s="4">
        <v>1</v>
      </c>
      <c r="Q21" s="3">
        <v>2</v>
      </c>
      <c r="R21" s="1">
        <f t="shared" si="1"/>
        <v>2</v>
      </c>
      <c r="S21" s="109" t="s">
        <v>359</v>
      </c>
      <c r="T21" s="110">
        <v>3</v>
      </c>
      <c r="U21" s="3">
        <v>2</v>
      </c>
      <c r="V21" s="4">
        <f>T21*U21</f>
        <v>6</v>
      </c>
    </row>
    <row r="22" spans="1:22" ht="34.5" hidden="1" customHeight="1" x14ac:dyDescent="0.3">
      <c r="A22" s="64" t="s">
        <v>213</v>
      </c>
      <c r="B22" s="65" t="s">
        <v>214</v>
      </c>
      <c r="C22" s="59" t="s">
        <v>204</v>
      </c>
      <c r="D22" s="175" t="s">
        <v>463</v>
      </c>
      <c r="E22" s="106" t="s">
        <v>355</v>
      </c>
      <c r="F22" s="4">
        <v>3</v>
      </c>
      <c r="G22" s="4">
        <v>2</v>
      </c>
      <c r="H22" s="1">
        <f t="shared" si="3"/>
        <v>6</v>
      </c>
      <c r="I22" s="71" t="s">
        <v>213</v>
      </c>
      <c r="J22" s="135" t="s">
        <v>407</v>
      </c>
      <c r="K22" s="110" t="s">
        <v>232</v>
      </c>
      <c r="L22" s="110" t="s">
        <v>233</v>
      </c>
      <c r="M22" s="110" t="s">
        <v>357</v>
      </c>
      <c r="N22" s="110" t="s">
        <v>360</v>
      </c>
      <c r="O22" s="206">
        <v>45627</v>
      </c>
      <c r="P22" s="4">
        <v>3</v>
      </c>
      <c r="Q22" s="4">
        <v>2</v>
      </c>
      <c r="R22" s="1">
        <f t="shared" si="1"/>
        <v>6</v>
      </c>
      <c r="S22" s="109" t="s">
        <v>359</v>
      </c>
      <c r="T22" s="110">
        <v>3</v>
      </c>
      <c r="U22" s="3">
        <v>2</v>
      </c>
      <c r="V22" s="4">
        <f>T22*U22</f>
        <v>6</v>
      </c>
    </row>
    <row r="23" spans="1:22" ht="63.75" hidden="1" customHeight="1" x14ac:dyDescent="0.3">
      <c r="A23" s="64" t="s">
        <v>213</v>
      </c>
      <c r="B23" s="64" t="s">
        <v>214</v>
      </c>
      <c r="C23" s="12" t="s">
        <v>129</v>
      </c>
      <c r="D23" s="12" t="s">
        <v>128</v>
      </c>
      <c r="E23" s="106" t="s">
        <v>355</v>
      </c>
      <c r="F23" s="4">
        <v>1</v>
      </c>
      <c r="G23" s="4">
        <v>4</v>
      </c>
      <c r="H23" s="1">
        <f t="shared" si="3"/>
        <v>4</v>
      </c>
      <c r="I23" s="71" t="s">
        <v>213</v>
      </c>
      <c r="J23" s="221" t="s">
        <v>502</v>
      </c>
      <c r="K23" s="110" t="s">
        <v>232</v>
      </c>
      <c r="L23" s="110" t="s">
        <v>233</v>
      </c>
      <c r="M23" s="110" t="s">
        <v>223</v>
      </c>
      <c r="N23" s="136" t="s">
        <v>408</v>
      </c>
      <c r="O23" s="108" t="s">
        <v>232</v>
      </c>
      <c r="P23" s="4">
        <v>1</v>
      </c>
      <c r="Q23" s="4">
        <v>4</v>
      </c>
      <c r="R23" s="1">
        <f t="shared" si="1"/>
        <v>4</v>
      </c>
      <c r="S23" s="109" t="s">
        <v>361</v>
      </c>
      <c r="T23" s="3">
        <v>2</v>
      </c>
      <c r="U23" s="3">
        <v>4</v>
      </c>
      <c r="V23" s="4">
        <f>T23*U23</f>
        <v>8</v>
      </c>
    </row>
    <row r="24" spans="1:22" ht="43.2" hidden="1" x14ac:dyDescent="0.3">
      <c r="A24" s="92" t="s">
        <v>213</v>
      </c>
      <c r="B24" s="92" t="s">
        <v>214</v>
      </c>
      <c r="C24" s="111" t="s">
        <v>363</v>
      </c>
      <c r="D24" s="112" t="s">
        <v>353</v>
      </c>
      <c r="E24" s="107" t="s">
        <v>365</v>
      </c>
      <c r="F24" s="4">
        <v>4</v>
      </c>
      <c r="G24" s="4">
        <v>3</v>
      </c>
      <c r="H24" s="1">
        <f t="shared" si="3"/>
        <v>12</v>
      </c>
      <c r="I24" s="93" t="s">
        <v>213</v>
      </c>
      <c r="J24" s="107" t="s">
        <v>366</v>
      </c>
      <c r="K24" s="114" t="s">
        <v>264</v>
      </c>
      <c r="L24" s="114" t="s">
        <v>233</v>
      </c>
      <c r="M24" s="114" t="s">
        <v>368</v>
      </c>
      <c r="N24" s="127" t="s">
        <v>354</v>
      </c>
      <c r="O24" s="113" t="s">
        <v>264</v>
      </c>
      <c r="P24" s="4">
        <v>3</v>
      </c>
      <c r="Q24" s="4">
        <v>3</v>
      </c>
      <c r="R24" s="1">
        <f t="shared" si="1"/>
        <v>9</v>
      </c>
      <c r="S24" s="16" t="s">
        <v>182</v>
      </c>
      <c r="T24" s="4" t="s">
        <v>182</v>
      </c>
      <c r="U24" s="4" t="s">
        <v>182</v>
      </c>
      <c r="V24" s="4" t="s">
        <v>182</v>
      </c>
    </row>
    <row r="25" spans="1:22" ht="72" hidden="1" x14ac:dyDescent="0.3">
      <c r="A25" s="92" t="s">
        <v>213</v>
      </c>
      <c r="B25" s="92" t="s">
        <v>214</v>
      </c>
      <c r="C25" s="111" t="s">
        <v>364</v>
      </c>
      <c r="D25" s="251" t="s">
        <v>514</v>
      </c>
      <c r="E25" s="107" t="s">
        <v>362</v>
      </c>
      <c r="F25" s="4">
        <v>2</v>
      </c>
      <c r="G25" s="4">
        <v>4</v>
      </c>
      <c r="H25" s="1">
        <f t="shared" si="3"/>
        <v>8</v>
      </c>
      <c r="I25" s="93" t="s">
        <v>213</v>
      </c>
      <c r="J25" s="248" t="s">
        <v>553</v>
      </c>
      <c r="K25" s="114" t="s">
        <v>219</v>
      </c>
      <c r="L25" s="114" t="s">
        <v>233</v>
      </c>
      <c r="M25" s="114" t="s">
        <v>367</v>
      </c>
      <c r="N25" s="249" t="s">
        <v>554</v>
      </c>
      <c r="O25" s="113" t="s">
        <v>219</v>
      </c>
      <c r="P25" s="4">
        <v>2</v>
      </c>
      <c r="Q25" s="4">
        <v>4</v>
      </c>
      <c r="R25" s="1">
        <f t="shared" si="1"/>
        <v>8</v>
      </c>
      <c r="S25" s="16" t="s">
        <v>182</v>
      </c>
      <c r="T25" s="4" t="s">
        <v>182</v>
      </c>
      <c r="U25" s="4" t="s">
        <v>182</v>
      </c>
      <c r="V25" s="4" t="s">
        <v>182</v>
      </c>
    </row>
    <row r="26" spans="1:22" ht="43.2" hidden="1" x14ac:dyDescent="0.3">
      <c r="A26" s="92" t="s">
        <v>213</v>
      </c>
      <c r="B26" s="92" t="s">
        <v>214</v>
      </c>
      <c r="C26" s="117" t="s">
        <v>384</v>
      </c>
      <c r="D26" s="219" t="s">
        <v>497</v>
      </c>
      <c r="E26" s="92" t="s">
        <v>334</v>
      </c>
      <c r="F26" s="4">
        <v>1</v>
      </c>
      <c r="G26" s="4">
        <v>4</v>
      </c>
      <c r="H26" s="1">
        <f t="shared" si="3"/>
        <v>4</v>
      </c>
      <c r="I26" s="93" t="s">
        <v>213</v>
      </c>
      <c r="J26" s="248" t="s">
        <v>555</v>
      </c>
      <c r="K26" s="114" t="s">
        <v>219</v>
      </c>
      <c r="L26" s="114" t="s">
        <v>233</v>
      </c>
      <c r="M26" s="114" t="s">
        <v>369</v>
      </c>
      <c r="N26" s="114" t="s">
        <v>370</v>
      </c>
      <c r="O26" s="113" t="s">
        <v>219</v>
      </c>
      <c r="P26" s="4">
        <v>1</v>
      </c>
      <c r="Q26" s="4">
        <v>4</v>
      </c>
      <c r="R26" s="1">
        <f t="shared" si="1"/>
        <v>4</v>
      </c>
      <c r="S26" s="16" t="s">
        <v>182</v>
      </c>
      <c r="T26" s="4" t="s">
        <v>182</v>
      </c>
      <c r="U26" s="4" t="s">
        <v>182</v>
      </c>
      <c r="V26" s="4" t="s">
        <v>182</v>
      </c>
    </row>
    <row r="27" spans="1:22" ht="57.6" hidden="1" x14ac:dyDescent="0.3">
      <c r="A27" s="216" t="s">
        <v>217</v>
      </c>
      <c r="B27" s="186" t="s">
        <v>214</v>
      </c>
      <c r="C27" s="12" t="s">
        <v>143</v>
      </c>
      <c r="D27" s="107" t="s">
        <v>371</v>
      </c>
      <c r="E27" s="12" t="s">
        <v>170</v>
      </c>
      <c r="F27" s="4">
        <v>2</v>
      </c>
      <c r="G27" s="4">
        <v>2</v>
      </c>
      <c r="H27" s="1">
        <f t="shared" si="3"/>
        <v>4</v>
      </c>
      <c r="I27" s="67" t="s">
        <v>213</v>
      </c>
      <c r="J27" s="241" t="s">
        <v>532</v>
      </c>
      <c r="K27" s="114" t="s">
        <v>264</v>
      </c>
      <c r="L27" s="114" t="s">
        <v>233</v>
      </c>
      <c r="M27" s="114" t="s">
        <v>369</v>
      </c>
      <c r="N27" s="114" t="s">
        <v>372</v>
      </c>
      <c r="O27" s="196" t="s">
        <v>264</v>
      </c>
      <c r="P27" s="4">
        <v>1</v>
      </c>
      <c r="Q27" s="4">
        <v>2</v>
      </c>
      <c r="R27" s="1">
        <f t="shared" si="1"/>
        <v>2</v>
      </c>
      <c r="S27" s="16" t="s">
        <v>182</v>
      </c>
      <c r="T27" s="4" t="s">
        <v>182</v>
      </c>
      <c r="U27" s="4" t="s">
        <v>182</v>
      </c>
      <c r="V27" s="4" t="s">
        <v>182</v>
      </c>
    </row>
    <row r="28" spans="1:22" ht="72" hidden="1" x14ac:dyDescent="0.3">
      <c r="A28" s="64" t="s">
        <v>213</v>
      </c>
      <c r="B28" s="65" t="s">
        <v>214</v>
      </c>
      <c r="C28" s="17" t="s">
        <v>144</v>
      </c>
      <c r="D28" s="219" t="s">
        <v>498</v>
      </c>
      <c r="E28" s="12" t="s">
        <v>171</v>
      </c>
      <c r="F28" s="4">
        <v>3</v>
      </c>
      <c r="G28" s="4">
        <v>3</v>
      </c>
      <c r="H28" s="1">
        <f t="shared" si="3"/>
        <v>9</v>
      </c>
      <c r="I28" s="67" t="s">
        <v>213</v>
      </c>
      <c r="J28" s="107" t="s">
        <v>373</v>
      </c>
      <c r="K28" s="114" t="s">
        <v>374</v>
      </c>
      <c r="L28" s="114" t="s">
        <v>220</v>
      </c>
      <c r="M28" s="114" t="s">
        <v>369</v>
      </c>
      <c r="N28" s="197" t="s">
        <v>375</v>
      </c>
      <c r="O28" s="113" t="s">
        <v>374</v>
      </c>
      <c r="P28" s="4">
        <v>2</v>
      </c>
      <c r="Q28" s="4">
        <v>3</v>
      </c>
      <c r="R28" s="1">
        <f t="shared" si="1"/>
        <v>6</v>
      </c>
      <c r="S28" s="220" t="s">
        <v>499</v>
      </c>
      <c r="T28" s="4">
        <v>3</v>
      </c>
      <c r="U28" s="4">
        <v>3</v>
      </c>
      <c r="V28" s="4">
        <v>9</v>
      </c>
    </row>
    <row r="29" spans="1:22" ht="43.2" hidden="1" x14ac:dyDescent="0.3">
      <c r="A29" s="64" t="s">
        <v>213</v>
      </c>
      <c r="B29" s="64" t="s">
        <v>214</v>
      </c>
      <c r="C29" s="12" t="s">
        <v>183</v>
      </c>
      <c r="D29" s="107" t="s">
        <v>376</v>
      </c>
      <c r="E29" s="12" t="s">
        <v>171</v>
      </c>
      <c r="F29" s="4">
        <v>2</v>
      </c>
      <c r="G29" s="4">
        <v>3</v>
      </c>
      <c r="H29" s="1">
        <f t="shared" si="3"/>
        <v>6</v>
      </c>
      <c r="I29" s="67" t="s">
        <v>213</v>
      </c>
      <c r="J29" s="175" t="s">
        <v>464</v>
      </c>
      <c r="K29" s="128" t="s">
        <v>234</v>
      </c>
      <c r="L29" s="128" t="s">
        <v>233</v>
      </c>
      <c r="M29" s="114" t="s">
        <v>369</v>
      </c>
      <c r="N29" s="128" t="s">
        <v>377</v>
      </c>
      <c r="O29" s="198">
        <v>45412</v>
      </c>
      <c r="P29" s="4">
        <v>1</v>
      </c>
      <c r="Q29" s="4">
        <v>3</v>
      </c>
      <c r="R29" s="1">
        <f t="shared" si="1"/>
        <v>3</v>
      </c>
      <c r="S29" s="16" t="s">
        <v>182</v>
      </c>
      <c r="T29" s="4" t="s">
        <v>182</v>
      </c>
      <c r="U29" s="4" t="s">
        <v>182</v>
      </c>
      <c r="V29" s="4" t="s">
        <v>182</v>
      </c>
    </row>
    <row r="30" spans="1:22" ht="57.6" hidden="1" x14ac:dyDescent="0.3">
      <c r="A30" s="186" t="s">
        <v>217</v>
      </c>
      <c r="B30" s="186" t="s">
        <v>214</v>
      </c>
      <c r="C30" s="186" t="s">
        <v>145</v>
      </c>
      <c r="D30" s="231" t="s">
        <v>511</v>
      </c>
      <c r="E30" s="186" t="s">
        <v>277</v>
      </c>
      <c r="F30" s="187">
        <v>3</v>
      </c>
      <c r="G30" s="187">
        <v>1</v>
      </c>
      <c r="H30" s="1">
        <f t="shared" si="3"/>
        <v>3</v>
      </c>
      <c r="I30" s="187" t="s">
        <v>217</v>
      </c>
      <c r="J30" s="209" t="s">
        <v>487</v>
      </c>
      <c r="K30" s="209" t="s">
        <v>488</v>
      </c>
      <c r="L30" s="210" t="s">
        <v>485</v>
      </c>
      <c r="M30" s="210" t="s">
        <v>490</v>
      </c>
      <c r="N30" s="210" t="s">
        <v>489</v>
      </c>
      <c r="O30" s="211" t="s">
        <v>279</v>
      </c>
      <c r="P30" s="187">
        <v>2</v>
      </c>
      <c r="Q30" s="187">
        <v>1</v>
      </c>
      <c r="R30" s="1">
        <f t="shared" si="1"/>
        <v>2</v>
      </c>
      <c r="S30" s="189" t="s">
        <v>182</v>
      </c>
      <c r="T30" s="190" t="s">
        <v>182</v>
      </c>
      <c r="U30" s="190" t="s">
        <v>182</v>
      </c>
      <c r="V30" s="187" t="s">
        <v>182</v>
      </c>
    </row>
    <row r="31" spans="1:22" ht="28.8" hidden="1" x14ac:dyDescent="0.3">
      <c r="A31" s="12" t="s">
        <v>130</v>
      </c>
      <c r="B31" s="64" t="s">
        <v>38</v>
      </c>
      <c r="C31" s="12" t="s">
        <v>131</v>
      </c>
      <c r="D31" s="12" t="s">
        <v>132</v>
      </c>
      <c r="E31" s="13" t="s">
        <v>166</v>
      </c>
      <c r="F31" s="4">
        <v>1</v>
      </c>
      <c r="G31" s="105">
        <v>4</v>
      </c>
      <c r="H31" s="1">
        <f t="shared" si="3"/>
        <v>4</v>
      </c>
      <c r="I31" s="4" t="s">
        <v>130</v>
      </c>
      <c r="J31" s="13" t="s">
        <v>193</v>
      </c>
      <c r="K31" s="123" t="s">
        <v>219</v>
      </c>
      <c r="L31" s="123" t="s">
        <v>220</v>
      </c>
      <c r="M31" s="155" t="s">
        <v>389</v>
      </c>
      <c r="N31" s="155" t="s">
        <v>442</v>
      </c>
      <c r="O31" s="253" t="s">
        <v>219</v>
      </c>
      <c r="P31" s="4">
        <v>1</v>
      </c>
      <c r="Q31" s="105">
        <v>4</v>
      </c>
      <c r="R31" s="1">
        <f t="shared" si="1"/>
        <v>4</v>
      </c>
      <c r="S31" s="88" t="s">
        <v>182</v>
      </c>
      <c r="T31" s="3" t="s">
        <v>182</v>
      </c>
      <c r="U31" s="3" t="s">
        <v>182</v>
      </c>
      <c r="V31" s="4" t="s">
        <v>182</v>
      </c>
    </row>
    <row r="32" spans="1:22" ht="28.8" hidden="1" x14ac:dyDescent="0.3">
      <c r="A32" s="12" t="s">
        <v>130</v>
      </c>
      <c r="B32" s="64" t="s">
        <v>38</v>
      </c>
      <c r="C32" s="138" t="s">
        <v>409</v>
      </c>
      <c r="D32" s="156" t="s">
        <v>443</v>
      </c>
      <c r="E32" s="13" t="s">
        <v>167</v>
      </c>
      <c r="F32" s="4">
        <v>1</v>
      </c>
      <c r="G32" s="4">
        <v>4</v>
      </c>
      <c r="H32" s="1">
        <f t="shared" si="3"/>
        <v>4</v>
      </c>
      <c r="I32" s="4" t="s">
        <v>130</v>
      </c>
      <c r="J32" s="170" t="s">
        <v>454</v>
      </c>
      <c r="K32" s="123" t="s">
        <v>219</v>
      </c>
      <c r="L32" s="123" t="s">
        <v>220</v>
      </c>
      <c r="M32" s="123" t="s">
        <v>221</v>
      </c>
      <c r="N32" s="155" t="s">
        <v>442</v>
      </c>
      <c r="O32" s="253" t="s">
        <v>219</v>
      </c>
      <c r="P32" s="4">
        <v>1</v>
      </c>
      <c r="Q32" s="4">
        <v>4</v>
      </c>
      <c r="R32" s="1">
        <f t="shared" si="1"/>
        <v>4</v>
      </c>
      <c r="S32" s="15" t="s">
        <v>182</v>
      </c>
      <c r="T32" s="4" t="s">
        <v>182</v>
      </c>
      <c r="U32" s="4" t="s">
        <v>182</v>
      </c>
      <c r="V32" s="4" t="s">
        <v>182</v>
      </c>
    </row>
    <row r="33" spans="1:22" ht="34.5" hidden="1" customHeight="1" x14ac:dyDescent="0.3">
      <c r="A33" s="12" t="s">
        <v>130</v>
      </c>
      <c r="B33" s="65" t="s">
        <v>38</v>
      </c>
      <c r="C33" s="59" t="s">
        <v>205</v>
      </c>
      <c r="D33" s="139" t="s">
        <v>410</v>
      </c>
      <c r="E33" s="13" t="s">
        <v>166</v>
      </c>
      <c r="F33" s="4">
        <v>1</v>
      </c>
      <c r="G33" s="4">
        <v>2</v>
      </c>
      <c r="H33" s="1">
        <f t="shared" si="3"/>
        <v>2</v>
      </c>
      <c r="I33" s="63" t="s">
        <v>130</v>
      </c>
      <c r="J33" s="170" t="s">
        <v>455</v>
      </c>
      <c r="K33" s="123" t="s">
        <v>222</v>
      </c>
      <c r="L33" s="123" t="s">
        <v>220</v>
      </c>
      <c r="M33" s="123" t="s">
        <v>223</v>
      </c>
      <c r="N33" s="123" t="s">
        <v>224</v>
      </c>
      <c r="O33" s="254" t="s">
        <v>558</v>
      </c>
      <c r="P33" s="4">
        <v>1</v>
      </c>
      <c r="Q33" s="4">
        <v>2</v>
      </c>
      <c r="R33" s="1">
        <f t="shared" si="1"/>
        <v>2</v>
      </c>
      <c r="S33" s="15" t="s">
        <v>182</v>
      </c>
      <c r="T33" s="4" t="s">
        <v>182</v>
      </c>
      <c r="U33" s="4" t="s">
        <v>182</v>
      </c>
      <c r="V33" s="4" t="s">
        <v>182</v>
      </c>
    </row>
    <row r="34" spans="1:22" ht="28.8" hidden="1" x14ac:dyDescent="0.3">
      <c r="A34" s="12" t="s">
        <v>130</v>
      </c>
      <c r="B34" s="65" t="s">
        <v>39</v>
      </c>
      <c r="C34" s="17" t="s">
        <v>133</v>
      </c>
      <c r="D34" s="72" t="s">
        <v>225</v>
      </c>
      <c r="E34" s="13" t="s">
        <v>166</v>
      </c>
      <c r="F34" s="3">
        <v>1</v>
      </c>
      <c r="G34" s="4">
        <v>5</v>
      </c>
      <c r="H34" s="1">
        <f t="shared" si="3"/>
        <v>5</v>
      </c>
      <c r="I34" s="4" t="s">
        <v>130</v>
      </c>
      <c r="J34" s="170" t="s">
        <v>456</v>
      </c>
      <c r="K34" s="123" t="s">
        <v>219</v>
      </c>
      <c r="L34" s="123" t="s">
        <v>220</v>
      </c>
      <c r="M34" s="123" t="s">
        <v>221</v>
      </c>
      <c r="N34" s="155" t="s">
        <v>442</v>
      </c>
      <c r="O34" s="253" t="s">
        <v>219</v>
      </c>
      <c r="P34" s="3">
        <v>1</v>
      </c>
      <c r="Q34" s="4">
        <v>5</v>
      </c>
      <c r="R34" s="1">
        <f t="shared" si="1"/>
        <v>5</v>
      </c>
      <c r="S34" s="15" t="s">
        <v>182</v>
      </c>
      <c r="T34" s="4" t="s">
        <v>182</v>
      </c>
      <c r="U34" s="4" t="s">
        <v>182</v>
      </c>
      <c r="V34" s="4" t="s">
        <v>182</v>
      </c>
    </row>
    <row r="35" spans="1:22" ht="43.2" hidden="1" x14ac:dyDescent="0.3">
      <c r="A35" s="12" t="s">
        <v>130</v>
      </c>
      <c r="B35" s="64" t="s">
        <v>39</v>
      </c>
      <c r="C35" s="12" t="s">
        <v>134</v>
      </c>
      <c r="D35" s="12" t="s">
        <v>135</v>
      </c>
      <c r="E35" s="13" t="s">
        <v>167</v>
      </c>
      <c r="F35" s="4">
        <v>1</v>
      </c>
      <c r="G35" s="4">
        <v>4</v>
      </c>
      <c r="H35" s="1">
        <f t="shared" si="3"/>
        <v>4</v>
      </c>
      <c r="I35" s="4" t="s">
        <v>130</v>
      </c>
      <c r="J35" s="170" t="s">
        <v>457</v>
      </c>
      <c r="K35" s="123" t="s">
        <v>226</v>
      </c>
      <c r="L35" s="155" t="s">
        <v>444</v>
      </c>
      <c r="M35" s="171" t="s">
        <v>223</v>
      </c>
      <c r="N35" s="123" t="s">
        <v>227</v>
      </c>
      <c r="O35" s="254" t="s">
        <v>557</v>
      </c>
      <c r="P35" s="4">
        <v>1</v>
      </c>
      <c r="Q35" s="4">
        <v>4</v>
      </c>
      <c r="R35" s="1">
        <f t="shared" si="1"/>
        <v>4</v>
      </c>
      <c r="S35" s="73" t="s">
        <v>228</v>
      </c>
      <c r="T35" s="4">
        <v>3</v>
      </c>
      <c r="U35" s="4">
        <v>2</v>
      </c>
      <c r="V35" s="4">
        <v>6</v>
      </c>
    </row>
    <row r="36" spans="1:22" ht="43.2" hidden="1" x14ac:dyDescent="0.3">
      <c r="A36" s="12" t="s">
        <v>136</v>
      </c>
      <c r="B36" s="64" t="s">
        <v>214</v>
      </c>
      <c r="C36" s="203" t="s">
        <v>137</v>
      </c>
      <c r="D36" s="12" t="s">
        <v>138</v>
      </c>
      <c r="E36" s="12" t="s">
        <v>168</v>
      </c>
      <c r="F36" s="4">
        <v>2</v>
      </c>
      <c r="G36" s="4">
        <v>3</v>
      </c>
      <c r="H36" s="1">
        <f t="shared" si="3"/>
        <v>6</v>
      </c>
      <c r="I36" s="4" t="s">
        <v>136</v>
      </c>
      <c r="J36" s="12" t="s">
        <v>191</v>
      </c>
      <c r="K36" s="74" t="s">
        <v>234</v>
      </c>
      <c r="L36" s="74" t="s">
        <v>220</v>
      </c>
      <c r="M36" s="74" t="s">
        <v>235</v>
      </c>
      <c r="N36" s="74" t="s">
        <v>236</v>
      </c>
      <c r="O36" s="2">
        <v>45536</v>
      </c>
      <c r="P36" s="4">
        <v>2</v>
      </c>
      <c r="Q36" s="4">
        <v>3</v>
      </c>
      <c r="R36" s="1">
        <f t="shared" si="1"/>
        <v>6</v>
      </c>
      <c r="S36" s="16" t="s">
        <v>182</v>
      </c>
      <c r="T36" s="4" t="s">
        <v>182</v>
      </c>
      <c r="U36" s="4" t="s">
        <v>182</v>
      </c>
      <c r="V36" s="4" t="s">
        <v>182</v>
      </c>
    </row>
    <row r="37" spans="1:22" ht="60.6" hidden="1" customHeight="1" x14ac:dyDescent="0.3">
      <c r="A37" s="12" t="s">
        <v>136</v>
      </c>
      <c r="B37" s="65" t="s">
        <v>38</v>
      </c>
      <c r="C37" s="204" t="s">
        <v>137</v>
      </c>
      <c r="D37" s="59" t="s">
        <v>139</v>
      </c>
      <c r="E37" s="12" t="s">
        <v>168</v>
      </c>
      <c r="F37" s="4">
        <v>3</v>
      </c>
      <c r="G37" s="4">
        <v>3</v>
      </c>
      <c r="H37" s="1">
        <f t="shared" si="3"/>
        <v>9</v>
      </c>
      <c r="I37" s="3" t="s">
        <v>136</v>
      </c>
      <c r="J37" s="138" t="s">
        <v>411</v>
      </c>
      <c r="K37" s="74" t="s">
        <v>219</v>
      </c>
      <c r="L37" s="74" t="s">
        <v>220</v>
      </c>
      <c r="M37" s="74" t="s">
        <v>221</v>
      </c>
      <c r="N37" s="74" t="s">
        <v>237</v>
      </c>
      <c r="O37" s="237" t="s">
        <v>519</v>
      </c>
      <c r="P37" s="4">
        <v>3</v>
      </c>
      <c r="Q37" s="4">
        <v>3</v>
      </c>
      <c r="R37" s="1">
        <f t="shared" si="1"/>
        <v>9</v>
      </c>
      <c r="S37" s="76" t="s">
        <v>182</v>
      </c>
      <c r="T37" s="4" t="s">
        <v>182</v>
      </c>
      <c r="U37" s="4" t="s">
        <v>182</v>
      </c>
      <c r="V37" s="4" t="s">
        <v>182</v>
      </c>
    </row>
    <row r="38" spans="1:22" ht="61.2" hidden="1" customHeight="1" x14ac:dyDescent="0.3">
      <c r="A38" s="12" t="s">
        <v>136</v>
      </c>
      <c r="B38" s="165" t="s">
        <v>216</v>
      </c>
      <c r="C38" s="204" t="s">
        <v>140</v>
      </c>
      <c r="D38" s="17" t="s">
        <v>141</v>
      </c>
      <c r="E38" s="12" t="s">
        <v>168</v>
      </c>
      <c r="F38" s="4">
        <v>3</v>
      </c>
      <c r="G38" s="4">
        <v>5</v>
      </c>
      <c r="H38" s="1">
        <f t="shared" si="3"/>
        <v>15</v>
      </c>
      <c r="I38" s="3" t="s">
        <v>136</v>
      </c>
      <c r="J38" s="12" t="s">
        <v>192</v>
      </c>
      <c r="K38" s="74" t="s">
        <v>232</v>
      </c>
      <c r="L38" s="74" t="s">
        <v>238</v>
      </c>
      <c r="M38" s="74" t="s">
        <v>223</v>
      </c>
      <c r="N38" s="74" t="s">
        <v>239</v>
      </c>
      <c r="O38" s="75" t="s">
        <v>232</v>
      </c>
      <c r="P38" s="4">
        <v>3</v>
      </c>
      <c r="Q38" s="4">
        <v>5</v>
      </c>
      <c r="R38" s="1">
        <f t="shared" si="1"/>
        <v>15</v>
      </c>
      <c r="S38" s="16" t="s">
        <v>182</v>
      </c>
      <c r="T38" s="4" t="s">
        <v>182</v>
      </c>
      <c r="U38" s="4" t="s">
        <v>182</v>
      </c>
      <c r="V38" s="4" t="s">
        <v>182</v>
      </c>
    </row>
    <row r="39" spans="1:22" ht="57.6" hidden="1" x14ac:dyDescent="0.3">
      <c r="A39" s="12" t="s">
        <v>136</v>
      </c>
      <c r="B39" s="64" t="s">
        <v>214</v>
      </c>
      <c r="C39" s="203" t="s">
        <v>142</v>
      </c>
      <c r="D39" s="231" t="s">
        <v>512</v>
      </c>
      <c r="E39" s="12" t="s">
        <v>169</v>
      </c>
      <c r="F39" s="4">
        <v>1</v>
      </c>
      <c r="G39" s="4">
        <v>3</v>
      </c>
      <c r="H39" s="1">
        <f t="shared" si="3"/>
        <v>3</v>
      </c>
      <c r="I39" s="4" t="s">
        <v>136</v>
      </c>
      <c r="J39" s="238" t="s">
        <v>520</v>
      </c>
      <c r="K39" s="74" t="s">
        <v>241</v>
      </c>
      <c r="L39" s="74" t="s">
        <v>220</v>
      </c>
      <c r="M39" s="74" t="s">
        <v>242</v>
      </c>
      <c r="N39" s="74" t="s">
        <v>240</v>
      </c>
      <c r="O39" s="2">
        <v>45627</v>
      </c>
      <c r="P39" s="4">
        <v>1</v>
      </c>
      <c r="Q39" s="4">
        <v>3</v>
      </c>
      <c r="R39" s="1">
        <f t="shared" ref="R39:R71" si="4">P39*Q39</f>
        <v>3</v>
      </c>
      <c r="S39" s="16" t="s">
        <v>182</v>
      </c>
      <c r="T39" s="4" t="s">
        <v>182</v>
      </c>
      <c r="U39" s="4" t="s">
        <v>182</v>
      </c>
      <c r="V39" s="4" t="s">
        <v>182</v>
      </c>
    </row>
    <row r="40" spans="1:22" ht="28.8" hidden="1" x14ac:dyDescent="0.3">
      <c r="A40" s="23" t="s">
        <v>146</v>
      </c>
      <c r="B40" s="23" t="s">
        <v>214</v>
      </c>
      <c r="C40" s="23" t="s">
        <v>147</v>
      </c>
      <c r="D40" s="23" t="s">
        <v>513</v>
      </c>
      <c r="E40" s="23" t="s">
        <v>261</v>
      </c>
      <c r="F40" s="1">
        <v>1</v>
      </c>
      <c r="G40" s="1">
        <v>4</v>
      </c>
      <c r="H40" s="166">
        <f t="shared" si="3"/>
        <v>4</v>
      </c>
      <c r="I40" s="1" t="s">
        <v>146</v>
      </c>
      <c r="J40" s="23" t="s">
        <v>549</v>
      </c>
      <c r="K40" s="1" t="s">
        <v>234</v>
      </c>
      <c r="L40" s="1" t="s">
        <v>233</v>
      </c>
      <c r="M40" s="1" t="s">
        <v>223</v>
      </c>
      <c r="N40" s="1" t="s">
        <v>259</v>
      </c>
      <c r="O40" s="185">
        <v>45627</v>
      </c>
      <c r="P40" s="4">
        <v>1</v>
      </c>
      <c r="Q40" s="4">
        <v>4</v>
      </c>
      <c r="R40" s="1">
        <f t="shared" si="4"/>
        <v>4</v>
      </c>
      <c r="S40" s="16" t="s">
        <v>182</v>
      </c>
      <c r="T40" s="4" t="s">
        <v>182</v>
      </c>
      <c r="U40" s="4" t="s">
        <v>182</v>
      </c>
      <c r="V40" s="4" t="s">
        <v>182</v>
      </c>
    </row>
    <row r="41" spans="1:22" ht="33" customHeight="1" x14ac:dyDescent="0.3">
      <c r="A41" s="153" t="s">
        <v>440</v>
      </c>
      <c r="B41" s="64" t="s">
        <v>214</v>
      </c>
      <c r="C41" s="64" t="s">
        <v>147</v>
      </c>
      <c r="D41" s="153" t="s">
        <v>260</v>
      </c>
      <c r="E41" s="99" t="s">
        <v>161</v>
      </c>
      <c r="F41" s="4">
        <v>2</v>
      </c>
      <c r="G41" s="4">
        <v>4</v>
      </c>
      <c r="H41" s="1">
        <f t="shared" si="3"/>
        <v>8</v>
      </c>
      <c r="I41" s="154" t="s">
        <v>195</v>
      </c>
      <c r="J41" s="222" t="s">
        <v>508</v>
      </c>
      <c r="K41" s="84" t="s">
        <v>234</v>
      </c>
      <c r="L41" s="84" t="s">
        <v>233</v>
      </c>
      <c r="M41" s="84" t="s">
        <v>223</v>
      </c>
      <c r="N41" s="84" t="s">
        <v>262</v>
      </c>
      <c r="O41" s="2">
        <v>45627</v>
      </c>
      <c r="P41" s="4">
        <v>2</v>
      </c>
      <c r="Q41" s="4">
        <v>4</v>
      </c>
      <c r="R41" s="1">
        <f t="shared" si="4"/>
        <v>8</v>
      </c>
      <c r="S41" s="16" t="s">
        <v>182</v>
      </c>
      <c r="T41" s="4" t="s">
        <v>182</v>
      </c>
      <c r="U41" s="4" t="s">
        <v>182</v>
      </c>
      <c r="V41" s="4" t="s">
        <v>182</v>
      </c>
    </row>
    <row r="42" spans="1:22" ht="28.8" hidden="1" x14ac:dyDescent="0.3">
      <c r="A42" s="64" t="s">
        <v>146</v>
      </c>
      <c r="B42" s="64" t="s">
        <v>214</v>
      </c>
      <c r="C42" s="61" t="s">
        <v>210</v>
      </c>
      <c r="D42" s="138" t="s">
        <v>412</v>
      </c>
      <c r="E42" s="12" t="s">
        <v>172</v>
      </c>
      <c r="F42" s="4">
        <v>1</v>
      </c>
      <c r="G42" s="4">
        <v>4</v>
      </c>
      <c r="H42" s="1">
        <f t="shared" si="3"/>
        <v>4</v>
      </c>
      <c r="I42" s="69" t="s">
        <v>146</v>
      </c>
      <c r="J42" s="167" t="s">
        <v>450</v>
      </c>
      <c r="K42" s="84" t="s">
        <v>234</v>
      </c>
      <c r="L42" s="84" t="s">
        <v>233</v>
      </c>
      <c r="M42" s="84" t="s">
        <v>221</v>
      </c>
      <c r="N42" s="207" t="s">
        <v>263</v>
      </c>
      <c r="O42" s="2">
        <v>45505</v>
      </c>
      <c r="P42" s="4">
        <v>1</v>
      </c>
      <c r="Q42" s="4">
        <v>4</v>
      </c>
      <c r="R42" s="1">
        <f t="shared" si="4"/>
        <v>4</v>
      </c>
      <c r="S42" s="16" t="s">
        <v>182</v>
      </c>
      <c r="T42" s="4" t="s">
        <v>182</v>
      </c>
      <c r="U42" s="4" t="s">
        <v>182</v>
      </c>
      <c r="V42" s="4" t="s">
        <v>182</v>
      </c>
    </row>
    <row r="43" spans="1:22" ht="43.2" hidden="1" x14ac:dyDescent="0.3">
      <c r="A43" s="12" t="s">
        <v>146</v>
      </c>
      <c r="B43" s="64" t="s">
        <v>39</v>
      </c>
      <c r="C43" s="12" t="s">
        <v>148</v>
      </c>
      <c r="D43" s="12" t="s">
        <v>149</v>
      </c>
      <c r="E43" s="82" t="s">
        <v>172</v>
      </c>
      <c r="F43" s="4">
        <v>2</v>
      </c>
      <c r="G43" s="4">
        <v>3</v>
      </c>
      <c r="H43" s="1">
        <f t="shared" si="3"/>
        <v>6</v>
      </c>
      <c r="I43" s="4" t="s">
        <v>146</v>
      </c>
      <c r="J43" s="248" t="s">
        <v>550</v>
      </c>
      <c r="K43" s="84" t="s">
        <v>234</v>
      </c>
      <c r="L43" s="207" t="s">
        <v>485</v>
      </c>
      <c r="M43" s="207" t="s">
        <v>242</v>
      </c>
      <c r="N43" s="249" t="s">
        <v>551</v>
      </c>
      <c r="O43" s="75">
        <v>45627</v>
      </c>
      <c r="P43" s="4">
        <v>2</v>
      </c>
      <c r="Q43" s="4">
        <v>3</v>
      </c>
      <c r="R43" s="1">
        <f t="shared" si="4"/>
        <v>6</v>
      </c>
      <c r="S43" s="83" t="s">
        <v>269</v>
      </c>
      <c r="T43" s="4">
        <v>3</v>
      </c>
      <c r="U43" s="4">
        <v>3</v>
      </c>
      <c r="V43" s="4">
        <v>9</v>
      </c>
    </row>
    <row r="44" spans="1:22" ht="28.8" hidden="1" x14ac:dyDescent="0.3">
      <c r="A44" s="12" t="s">
        <v>146</v>
      </c>
      <c r="B44" s="64" t="s">
        <v>214</v>
      </c>
      <c r="C44" s="12" t="s">
        <v>150</v>
      </c>
      <c r="D44" s="12" t="s">
        <v>151</v>
      </c>
      <c r="E44" s="82" t="s">
        <v>172</v>
      </c>
      <c r="F44" s="4">
        <v>1</v>
      </c>
      <c r="G44" s="4">
        <v>4</v>
      </c>
      <c r="H44" s="1">
        <f t="shared" si="3"/>
        <v>4</v>
      </c>
      <c r="I44" s="4" t="s">
        <v>146</v>
      </c>
      <c r="J44" s="208" t="s">
        <v>486</v>
      </c>
      <c r="K44" s="84" t="s">
        <v>264</v>
      </c>
      <c r="L44" s="84" t="s">
        <v>220</v>
      </c>
      <c r="M44" s="84" t="s">
        <v>223</v>
      </c>
      <c r="N44" s="168" t="s">
        <v>451</v>
      </c>
      <c r="O44" s="207" t="s">
        <v>452</v>
      </c>
      <c r="P44" s="4">
        <v>1</v>
      </c>
      <c r="Q44" s="4">
        <v>4</v>
      </c>
      <c r="R44" s="1">
        <f t="shared" si="4"/>
        <v>4</v>
      </c>
      <c r="S44" s="16" t="s">
        <v>182</v>
      </c>
      <c r="T44" s="4" t="s">
        <v>182</v>
      </c>
      <c r="U44" s="4" t="s">
        <v>182</v>
      </c>
      <c r="V44" s="4" t="s">
        <v>182</v>
      </c>
    </row>
    <row r="45" spans="1:22" ht="57.6" hidden="1" x14ac:dyDescent="0.3">
      <c r="A45" s="12" t="s">
        <v>152</v>
      </c>
      <c r="B45" s="64" t="s">
        <v>214</v>
      </c>
      <c r="C45" s="22" t="s">
        <v>153</v>
      </c>
      <c r="D45" s="23" t="s">
        <v>184</v>
      </c>
      <c r="E45" s="12" t="s">
        <v>173</v>
      </c>
      <c r="F45" s="4">
        <v>3</v>
      </c>
      <c r="G45" s="4">
        <v>3</v>
      </c>
      <c r="H45" s="1">
        <f t="shared" si="3"/>
        <v>9</v>
      </c>
      <c r="I45" s="4" t="s">
        <v>152</v>
      </c>
      <c r="J45" s="258" t="s">
        <v>569</v>
      </c>
      <c r="K45" s="129" t="s">
        <v>234</v>
      </c>
      <c r="L45" s="129" t="s">
        <v>220</v>
      </c>
      <c r="M45" s="129" t="s">
        <v>221</v>
      </c>
      <c r="N45" s="129" t="s">
        <v>324</v>
      </c>
      <c r="O45" s="2">
        <v>45505</v>
      </c>
      <c r="P45" s="4">
        <v>3</v>
      </c>
      <c r="Q45" s="4">
        <v>3</v>
      </c>
      <c r="R45" s="1">
        <f t="shared" si="4"/>
        <v>9</v>
      </c>
      <c r="S45" s="91" t="s">
        <v>326</v>
      </c>
      <c r="T45" s="4">
        <v>3</v>
      </c>
      <c r="U45" s="4">
        <v>4</v>
      </c>
      <c r="V45" s="4">
        <v>12</v>
      </c>
    </row>
    <row r="46" spans="1:22" ht="43.2" hidden="1" x14ac:dyDescent="0.3">
      <c r="A46" s="12" t="s">
        <v>152</v>
      </c>
      <c r="B46" s="92" t="s">
        <v>101</v>
      </c>
      <c r="C46" s="12" t="s">
        <v>154</v>
      </c>
      <c r="D46" s="22" t="s">
        <v>215</v>
      </c>
      <c r="E46" s="12" t="s">
        <v>174</v>
      </c>
      <c r="F46" s="4">
        <v>2</v>
      </c>
      <c r="G46" s="4">
        <v>4</v>
      </c>
      <c r="H46" s="1">
        <f t="shared" si="3"/>
        <v>8</v>
      </c>
      <c r="I46" s="4" t="s">
        <v>152</v>
      </c>
      <c r="J46" s="17" t="s">
        <v>185</v>
      </c>
      <c r="K46" s="124" t="s">
        <v>234</v>
      </c>
      <c r="L46" s="124" t="s">
        <v>233</v>
      </c>
      <c r="M46" s="124" t="s">
        <v>221</v>
      </c>
      <c r="N46" s="124" t="s">
        <v>327</v>
      </c>
      <c r="O46" s="2">
        <v>45505</v>
      </c>
      <c r="P46" s="4">
        <v>1</v>
      </c>
      <c r="Q46" s="4">
        <v>4</v>
      </c>
      <c r="R46" s="1">
        <f t="shared" si="4"/>
        <v>4</v>
      </c>
      <c r="S46" s="91" t="s">
        <v>329</v>
      </c>
      <c r="T46" s="4">
        <v>3</v>
      </c>
      <c r="U46" s="4">
        <v>4</v>
      </c>
      <c r="V46" s="4">
        <v>12</v>
      </c>
    </row>
    <row r="47" spans="1:22" ht="28.8" hidden="1" x14ac:dyDescent="0.3">
      <c r="A47" s="12" t="s">
        <v>152</v>
      </c>
      <c r="B47" s="64" t="s">
        <v>214</v>
      </c>
      <c r="C47" s="12" t="s">
        <v>155</v>
      </c>
      <c r="D47" s="12" t="s">
        <v>186</v>
      </c>
      <c r="E47" s="12" t="s">
        <v>175</v>
      </c>
      <c r="F47" s="4">
        <v>2</v>
      </c>
      <c r="G47" s="4">
        <v>5</v>
      </c>
      <c r="H47" s="1">
        <f t="shared" ref="H47:H70" si="5">+F47*G47</f>
        <v>10</v>
      </c>
      <c r="I47" s="4" t="s">
        <v>152</v>
      </c>
      <c r="J47" s="17" t="s">
        <v>187</v>
      </c>
      <c r="K47" s="124" t="s">
        <v>234</v>
      </c>
      <c r="L47" s="124" t="s">
        <v>233</v>
      </c>
      <c r="M47" s="124" t="s">
        <v>221</v>
      </c>
      <c r="N47" s="124" t="s">
        <v>328</v>
      </c>
      <c r="O47" s="2">
        <v>45505</v>
      </c>
      <c r="P47" s="4">
        <v>1</v>
      </c>
      <c r="Q47" s="4">
        <v>5</v>
      </c>
      <c r="R47" s="1">
        <f t="shared" si="4"/>
        <v>5</v>
      </c>
      <c r="S47" s="16" t="s">
        <v>182</v>
      </c>
      <c r="T47" s="4" t="s">
        <v>182</v>
      </c>
      <c r="U47" s="4" t="s">
        <v>182</v>
      </c>
      <c r="V47" s="4" t="s">
        <v>182</v>
      </c>
    </row>
    <row r="48" spans="1:22" ht="28.8" hidden="1" x14ac:dyDescent="0.3">
      <c r="A48" s="236" t="s">
        <v>218</v>
      </c>
      <c r="B48" s="68" t="s">
        <v>214</v>
      </c>
      <c r="C48" s="12" t="s">
        <v>156</v>
      </c>
      <c r="D48" s="258" t="s">
        <v>157</v>
      </c>
      <c r="E48" s="12" t="s">
        <v>176</v>
      </c>
      <c r="F48" s="4">
        <v>2</v>
      </c>
      <c r="G48" s="4">
        <v>3</v>
      </c>
      <c r="H48" s="1">
        <f t="shared" si="5"/>
        <v>6</v>
      </c>
      <c r="I48" s="93" t="s">
        <v>218</v>
      </c>
      <c r="J48" s="95" t="s">
        <v>341</v>
      </c>
      <c r="K48" s="94" t="s">
        <v>232</v>
      </c>
      <c r="L48" s="94" t="s">
        <v>233</v>
      </c>
      <c r="M48" s="172" t="s">
        <v>223</v>
      </c>
      <c r="N48" s="94" t="s">
        <v>342</v>
      </c>
      <c r="O48" s="96" t="s">
        <v>232</v>
      </c>
      <c r="P48" s="4">
        <v>2</v>
      </c>
      <c r="Q48" s="4">
        <v>3</v>
      </c>
      <c r="R48" s="1">
        <f t="shared" si="4"/>
        <v>6</v>
      </c>
      <c r="S48" s="21" t="s">
        <v>182</v>
      </c>
      <c r="T48" s="3" t="s">
        <v>182</v>
      </c>
      <c r="U48" s="3" t="s">
        <v>182</v>
      </c>
      <c r="V48" s="4" t="s">
        <v>182</v>
      </c>
    </row>
    <row r="49" spans="1:23" ht="28.8" hidden="1" x14ac:dyDescent="0.3">
      <c r="A49" s="236" t="s">
        <v>218</v>
      </c>
      <c r="B49" s="203" t="s">
        <v>484</v>
      </c>
      <c r="C49" s="92" t="s">
        <v>344</v>
      </c>
      <c r="D49" s="92" t="s">
        <v>343</v>
      </c>
      <c r="E49" s="92" t="s">
        <v>176</v>
      </c>
      <c r="F49" s="4">
        <v>2</v>
      </c>
      <c r="G49" s="4">
        <v>4</v>
      </c>
      <c r="H49" s="1">
        <f t="shared" si="5"/>
        <v>8</v>
      </c>
      <c r="I49" s="93" t="s">
        <v>218</v>
      </c>
      <c r="J49" s="173" t="s">
        <v>458</v>
      </c>
      <c r="K49" s="94" t="s">
        <v>264</v>
      </c>
      <c r="L49" s="94" t="s">
        <v>233</v>
      </c>
      <c r="M49" s="94" t="s">
        <v>221</v>
      </c>
      <c r="N49" s="94" t="s">
        <v>345</v>
      </c>
      <c r="O49" s="96" t="s">
        <v>293</v>
      </c>
      <c r="P49" s="4">
        <v>2</v>
      </c>
      <c r="Q49" s="4">
        <v>4</v>
      </c>
      <c r="R49" s="1">
        <f t="shared" si="4"/>
        <v>8</v>
      </c>
      <c r="S49" s="234" t="s">
        <v>518</v>
      </c>
      <c r="T49" s="3">
        <v>4</v>
      </c>
      <c r="U49" s="3">
        <v>5</v>
      </c>
      <c r="V49" s="4">
        <f>T49*U49</f>
        <v>20</v>
      </c>
    </row>
    <row r="50" spans="1:23" ht="43.2" hidden="1" x14ac:dyDescent="0.3">
      <c r="A50" s="116" t="s">
        <v>218</v>
      </c>
      <c r="B50" s="70" t="s">
        <v>101</v>
      </c>
      <c r="C50" s="204" t="s">
        <v>482</v>
      </c>
      <c r="D50" s="161" t="s">
        <v>448</v>
      </c>
      <c r="E50" s="17" t="s">
        <v>200</v>
      </c>
      <c r="F50" s="4">
        <v>2</v>
      </c>
      <c r="G50" s="4">
        <v>3</v>
      </c>
      <c r="H50" s="1">
        <f t="shared" si="5"/>
        <v>6</v>
      </c>
      <c r="I50" s="94" t="s">
        <v>218</v>
      </c>
      <c r="J50" s="173" t="s">
        <v>459</v>
      </c>
      <c r="K50" s="94" t="s">
        <v>264</v>
      </c>
      <c r="L50" s="94" t="s">
        <v>233</v>
      </c>
      <c r="M50" s="94" t="s">
        <v>312</v>
      </c>
      <c r="N50" s="94" t="s">
        <v>340</v>
      </c>
      <c r="O50" s="160" t="s">
        <v>232</v>
      </c>
      <c r="P50" s="4">
        <v>2</v>
      </c>
      <c r="Q50" s="4">
        <v>3</v>
      </c>
      <c r="R50" s="1">
        <f t="shared" si="4"/>
        <v>6</v>
      </c>
      <c r="S50" s="16" t="s">
        <v>182</v>
      </c>
      <c r="T50" s="4" t="s">
        <v>182</v>
      </c>
      <c r="U50" s="4" t="s">
        <v>182</v>
      </c>
      <c r="V50" s="4" t="s">
        <v>182</v>
      </c>
    </row>
    <row r="51" spans="1:23" ht="72" hidden="1" x14ac:dyDescent="0.3">
      <c r="A51" s="92" t="s">
        <v>218</v>
      </c>
      <c r="B51" s="70" t="s">
        <v>101</v>
      </c>
      <c r="C51" s="204" t="s">
        <v>482</v>
      </c>
      <c r="D51" s="95" t="s">
        <v>339</v>
      </c>
      <c r="E51" s="17" t="s">
        <v>200</v>
      </c>
      <c r="F51" s="4">
        <v>1</v>
      </c>
      <c r="G51" s="4">
        <v>3</v>
      </c>
      <c r="H51" s="1">
        <f t="shared" si="5"/>
        <v>3</v>
      </c>
      <c r="I51" s="94" t="s">
        <v>218</v>
      </c>
      <c r="J51" s="259" t="s">
        <v>565</v>
      </c>
      <c r="K51" s="172" t="s">
        <v>460</v>
      </c>
      <c r="L51" s="94" t="s">
        <v>311</v>
      </c>
      <c r="M51" s="94" t="s">
        <v>221</v>
      </c>
      <c r="N51" s="205" t="s">
        <v>483</v>
      </c>
      <c r="O51" s="257" t="s">
        <v>564</v>
      </c>
      <c r="P51" s="4">
        <v>1</v>
      </c>
      <c r="Q51" s="4">
        <v>3</v>
      </c>
      <c r="R51" s="1">
        <f t="shared" si="4"/>
        <v>3</v>
      </c>
      <c r="S51" s="97" t="s">
        <v>201</v>
      </c>
      <c r="T51" s="3">
        <v>5</v>
      </c>
      <c r="U51" s="3">
        <v>4</v>
      </c>
      <c r="V51" s="4">
        <f>T51*U51</f>
        <v>20</v>
      </c>
    </row>
    <row r="52" spans="1:23" ht="72" hidden="1" x14ac:dyDescent="0.3">
      <c r="A52" s="92" t="s">
        <v>218</v>
      </c>
      <c r="B52" s="68" t="s">
        <v>101</v>
      </c>
      <c r="C52" s="12" t="s">
        <v>158</v>
      </c>
      <c r="D52" s="68" t="s">
        <v>119</v>
      </c>
      <c r="E52" s="92" t="s">
        <v>177</v>
      </c>
      <c r="F52" s="4">
        <v>1</v>
      </c>
      <c r="G52" s="4">
        <v>4</v>
      </c>
      <c r="H52" s="1">
        <f t="shared" si="5"/>
        <v>4</v>
      </c>
      <c r="I52" s="93" t="s">
        <v>218</v>
      </c>
      <c r="J52" s="258" t="s">
        <v>462</v>
      </c>
      <c r="K52" s="93" t="s">
        <v>234</v>
      </c>
      <c r="L52" s="93" t="s">
        <v>311</v>
      </c>
      <c r="M52" s="93" t="s">
        <v>221</v>
      </c>
      <c r="N52" s="93" t="s">
        <v>336</v>
      </c>
      <c r="O52" s="2">
        <v>45383</v>
      </c>
      <c r="P52" s="4">
        <v>1</v>
      </c>
      <c r="Q52" s="4">
        <v>4</v>
      </c>
      <c r="R52" s="1">
        <f t="shared" si="4"/>
        <v>4</v>
      </c>
      <c r="S52" s="16" t="s">
        <v>182</v>
      </c>
      <c r="T52" s="4" t="s">
        <v>182</v>
      </c>
      <c r="U52" s="4" t="s">
        <v>182</v>
      </c>
      <c r="V52" s="4" t="s">
        <v>182</v>
      </c>
    </row>
    <row r="53" spans="1:23" ht="70.2" hidden="1" customHeight="1" x14ac:dyDescent="0.3">
      <c r="A53" s="92" t="s">
        <v>218</v>
      </c>
      <c r="B53" s="68" t="s">
        <v>216</v>
      </c>
      <c r="C53" s="12" t="s">
        <v>159</v>
      </c>
      <c r="D53" s="258" t="s">
        <v>566</v>
      </c>
      <c r="E53" s="92" t="s">
        <v>178</v>
      </c>
      <c r="F53" s="4">
        <v>2</v>
      </c>
      <c r="G53" s="4">
        <v>4</v>
      </c>
      <c r="H53" s="1">
        <f t="shared" si="5"/>
        <v>8</v>
      </c>
      <c r="I53" s="93" t="s">
        <v>218</v>
      </c>
      <c r="J53" s="174" t="s">
        <v>461</v>
      </c>
      <c r="K53" s="93" t="s">
        <v>234</v>
      </c>
      <c r="L53" s="158" t="s">
        <v>220</v>
      </c>
      <c r="M53" s="93" t="s">
        <v>221</v>
      </c>
      <c r="N53" s="93" t="s">
        <v>337</v>
      </c>
      <c r="O53" s="2">
        <v>45597</v>
      </c>
      <c r="P53" s="4">
        <v>2</v>
      </c>
      <c r="Q53" s="4">
        <v>4</v>
      </c>
      <c r="R53" s="1">
        <f t="shared" si="4"/>
        <v>8</v>
      </c>
      <c r="S53" s="159" t="s">
        <v>338</v>
      </c>
      <c r="T53" s="4">
        <v>3</v>
      </c>
      <c r="U53" s="4">
        <v>4</v>
      </c>
      <c r="V53" s="4">
        <v>12</v>
      </c>
    </row>
    <row r="54" spans="1:23" ht="72" hidden="1" customHeight="1" x14ac:dyDescent="0.3">
      <c r="A54" s="92" t="s">
        <v>218</v>
      </c>
      <c r="B54" s="68" t="s">
        <v>216</v>
      </c>
      <c r="C54" s="12" t="s">
        <v>159</v>
      </c>
      <c r="D54" s="258" t="s">
        <v>567</v>
      </c>
      <c r="E54" s="12" t="s">
        <v>178</v>
      </c>
      <c r="F54" s="4">
        <v>1</v>
      </c>
      <c r="G54" s="4">
        <v>4</v>
      </c>
      <c r="H54" s="1">
        <f t="shared" si="5"/>
        <v>4</v>
      </c>
      <c r="I54" s="93" t="s">
        <v>218</v>
      </c>
      <c r="J54" s="258" t="s">
        <v>568</v>
      </c>
      <c r="K54" s="93" t="s">
        <v>234</v>
      </c>
      <c r="L54" s="93" t="s">
        <v>220</v>
      </c>
      <c r="M54" s="93" t="s">
        <v>221</v>
      </c>
      <c r="N54" s="93" t="s">
        <v>337</v>
      </c>
      <c r="O54" s="2">
        <v>45597</v>
      </c>
      <c r="P54" s="4">
        <v>1</v>
      </c>
      <c r="Q54" s="4">
        <v>4</v>
      </c>
      <c r="R54" s="1">
        <f t="shared" si="4"/>
        <v>4</v>
      </c>
      <c r="S54" s="159" t="s">
        <v>447</v>
      </c>
      <c r="T54" s="4">
        <v>3</v>
      </c>
      <c r="U54" s="4">
        <v>4</v>
      </c>
      <c r="V54" s="4">
        <v>12</v>
      </c>
    </row>
    <row r="55" spans="1:23" ht="57.6" x14ac:dyDescent="0.3">
      <c r="A55" s="227" t="s">
        <v>382</v>
      </c>
      <c r="B55" s="227" t="s">
        <v>100</v>
      </c>
      <c r="C55" s="227" t="s">
        <v>387</v>
      </c>
      <c r="D55" s="62" t="s">
        <v>160</v>
      </c>
      <c r="E55" s="227" t="s">
        <v>179</v>
      </c>
      <c r="F55" s="228">
        <v>1</v>
      </c>
      <c r="G55" s="228">
        <v>4</v>
      </c>
      <c r="H55" s="1">
        <f t="shared" si="5"/>
        <v>4</v>
      </c>
      <c r="I55" s="228" t="s">
        <v>382</v>
      </c>
      <c r="J55" s="227" t="s">
        <v>385</v>
      </c>
      <c r="K55" s="228" t="s">
        <v>226</v>
      </c>
      <c r="L55" s="228" t="s">
        <v>311</v>
      </c>
      <c r="M55" s="228" t="s">
        <v>312</v>
      </c>
      <c r="N55" s="329" t="s">
        <v>572</v>
      </c>
      <c r="O55" s="328" t="s">
        <v>535</v>
      </c>
      <c r="P55" s="228">
        <v>1</v>
      </c>
      <c r="Q55" s="228">
        <v>4</v>
      </c>
      <c r="R55" s="1">
        <f t="shared" si="4"/>
        <v>4</v>
      </c>
      <c r="S55" s="229" t="s">
        <v>188</v>
      </c>
      <c r="T55" s="228">
        <v>4</v>
      </c>
      <c r="U55" s="228">
        <v>4</v>
      </c>
      <c r="V55" s="228">
        <v>16</v>
      </c>
    </row>
    <row r="56" spans="1:23" ht="28.8" hidden="1" x14ac:dyDescent="0.3">
      <c r="A56" s="23" t="s">
        <v>120</v>
      </c>
      <c r="B56" s="23" t="s">
        <v>214</v>
      </c>
      <c r="C56" s="23" t="s">
        <v>428</v>
      </c>
      <c r="D56" s="23" t="s">
        <v>539</v>
      </c>
      <c r="E56" s="144" t="s">
        <v>164</v>
      </c>
      <c r="F56" s="4">
        <v>1</v>
      </c>
      <c r="G56" s="4">
        <v>4</v>
      </c>
      <c r="H56" s="1">
        <f t="shared" si="5"/>
        <v>4</v>
      </c>
      <c r="I56" s="77" t="s">
        <v>120</v>
      </c>
      <c r="J56" s="144" t="s">
        <v>429</v>
      </c>
      <c r="K56" s="142" t="s">
        <v>241</v>
      </c>
      <c r="L56" s="142" t="s">
        <v>220</v>
      </c>
      <c r="M56" s="145" t="s">
        <v>223</v>
      </c>
      <c r="N56" s="214" t="s">
        <v>430</v>
      </c>
      <c r="O56" s="142" t="s">
        <v>431</v>
      </c>
      <c r="P56" s="4">
        <v>1</v>
      </c>
      <c r="Q56" s="4">
        <v>4</v>
      </c>
      <c r="R56" s="1">
        <f t="shared" si="4"/>
        <v>4</v>
      </c>
      <c r="S56" s="141" t="s">
        <v>182</v>
      </c>
      <c r="T56" s="142" t="s">
        <v>182</v>
      </c>
      <c r="U56" s="142" t="s">
        <v>182</v>
      </c>
      <c r="V56" s="140" t="s">
        <v>182</v>
      </c>
      <c r="W56" s="200"/>
    </row>
    <row r="57" spans="1:23" ht="28.8" hidden="1" x14ac:dyDescent="0.3">
      <c r="A57" s="121" t="s">
        <v>120</v>
      </c>
      <c r="B57" s="121" t="s">
        <v>214</v>
      </c>
      <c r="C57" s="121" t="s">
        <v>244</v>
      </c>
      <c r="D57" s="121" t="s">
        <v>245</v>
      </c>
      <c r="E57" s="79" t="s">
        <v>254</v>
      </c>
      <c r="F57" s="4">
        <v>1</v>
      </c>
      <c r="G57" s="4">
        <v>3</v>
      </c>
      <c r="H57" s="1">
        <f t="shared" si="5"/>
        <v>3</v>
      </c>
      <c r="I57" s="77" t="s">
        <v>120</v>
      </c>
      <c r="J57" s="143" t="s">
        <v>423</v>
      </c>
      <c r="K57" s="142" t="s">
        <v>219</v>
      </c>
      <c r="L57" s="142" t="s">
        <v>220</v>
      </c>
      <c r="M57" s="142" t="s">
        <v>223</v>
      </c>
      <c r="N57" s="142" t="s">
        <v>424</v>
      </c>
      <c r="O57" s="245" t="s">
        <v>519</v>
      </c>
      <c r="P57" s="142">
        <v>1</v>
      </c>
      <c r="Q57" s="4">
        <v>3</v>
      </c>
      <c r="R57" s="1">
        <f t="shared" si="4"/>
        <v>3</v>
      </c>
      <c r="S57" s="141" t="s">
        <v>182</v>
      </c>
      <c r="T57" s="142" t="s">
        <v>182</v>
      </c>
      <c r="U57" s="142" t="s">
        <v>182</v>
      </c>
      <c r="V57" s="140" t="s">
        <v>182</v>
      </c>
      <c r="W57" s="200"/>
    </row>
    <row r="58" spans="1:23" ht="28.8" hidden="1" x14ac:dyDescent="0.3">
      <c r="A58" s="121" t="s">
        <v>120</v>
      </c>
      <c r="B58" s="121" t="s">
        <v>214</v>
      </c>
      <c r="C58" s="121" t="s">
        <v>246</v>
      </c>
      <c r="D58" s="121" t="s">
        <v>253</v>
      </c>
      <c r="E58" s="143" t="s">
        <v>254</v>
      </c>
      <c r="F58" s="4">
        <v>1</v>
      </c>
      <c r="G58" s="4">
        <v>3</v>
      </c>
      <c r="H58" s="1">
        <f t="shared" si="5"/>
        <v>3</v>
      </c>
      <c r="I58" s="81" t="s">
        <v>120</v>
      </c>
      <c r="J58" s="143" t="s">
        <v>423</v>
      </c>
      <c r="K58" s="142" t="s">
        <v>219</v>
      </c>
      <c r="L58" s="142" t="s">
        <v>220</v>
      </c>
      <c r="M58" s="142" t="s">
        <v>223</v>
      </c>
      <c r="N58" s="142" t="s">
        <v>424</v>
      </c>
      <c r="O58" s="245" t="s">
        <v>519</v>
      </c>
      <c r="P58" s="142">
        <v>1</v>
      </c>
      <c r="Q58" s="4">
        <v>3</v>
      </c>
      <c r="R58" s="1">
        <f t="shared" si="4"/>
        <v>3</v>
      </c>
      <c r="S58" s="141" t="s">
        <v>182</v>
      </c>
      <c r="T58" s="142" t="s">
        <v>182</v>
      </c>
      <c r="U58" s="142" t="s">
        <v>182</v>
      </c>
      <c r="V58" s="140" t="s">
        <v>182</v>
      </c>
      <c r="W58" s="200"/>
    </row>
    <row r="59" spans="1:23" ht="28.8" hidden="1" x14ac:dyDescent="0.3">
      <c r="A59" s="121" t="s">
        <v>120</v>
      </c>
      <c r="B59" s="121" t="s">
        <v>214</v>
      </c>
      <c r="C59" s="79" t="s">
        <v>258</v>
      </c>
      <c r="D59" s="121" t="s">
        <v>255</v>
      </c>
      <c r="E59" s="143" t="s">
        <v>427</v>
      </c>
      <c r="F59" s="4">
        <v>1</v>
      </c>
      <c r="G59" s="4">
        <v>3</v>
      </c>
      <c r="H59" s="1">
        <f t="shared" si="5"/>
        <v>3</v>
      </c>
      <c r="I59" s="81" t="s">
        <v>120</v>
      </c>
      <c r="J59" s="244" t="s">
        <v>540</v>
      </c>
      <c r="K59" s="142" t="s">
        <v>234</v>
      </c>
      <c r="L59" s="142" t="s">
        <v>233</v>
      </c>
      <c r="M59" s="142" t="s">
        <v>221</v>
      </c>
      <c r="N59" s="215" t="s">
        <v>495</v>
      </c>
      <c r="O59" s="246">
        <v>45292</v>
      </c>
      <c r="P59" s="142">
        <v>1</v>
      </c>
      <c r="Q59" s="4">
        <v>3</v>
      </c>
      <c r="R59" s="1">
        <f t="shared" si="4"/>
        <v>3</v>
      </c>
      <c r="S59" s="141" t="s">
        <v>426</v>
      </c>
      <c r="T59" s="142">
        <v>2</v>
      </c>
      <c r="U59" s="142">
        <v>2</v>
      </c>
      <c r="V59" s="140">
        <v>4</v>
      </c>
      <c r="W59" s="200"/>
    </row>
    <row r="60" spans="1:23" ht="28.8" hidden="1" x14ac:dyDescent="0.3">
      <c r="A60" s="79" t="s">
        <v>120</v>
      </c>
      <c r="B60" s="121" t="s">
        <v>214</v>
      </c>
      <c r="C60" s="121" t="s">
        <v>258</v>
      </c>
      <c r="D60" s="79" t="s">
        <v>256</v>
      </c>
      <c r="E60" s="143" t="s">
        <v>427</v>
      </c>
      <c r="F60" s="4">
        <v>1</v>
      </c>
      <c r="G60" s="4">
        <v>2</v>
      </c>
      <c r="H60" s="1">
        <f t="shared" si="5"/>
        <v>2</v>
      </c>
      <c r="I60" s="81" t="s">
        <v>120</v>
      </c>
      <c r="J60" s="244" t="s">
        <v>541</v>
      </c>
      <c r="K60" s="142" t="s">
        <v>234</v>
      </c>
      <c r="L60" s="142" t="s">
        <v>233</v>
      </c>
      <c r="M60" s="142" t="s">
        <v>223</v>
      </c>
      <c r="N60" s="142" t="s">
        <v>425</v>
      </c>
      <c r="O60" s="246" t="s">
        <v>542</v>
      </c>
      <c r="P60" s="142">
        <v>1</v>
      </c>
      <c r="Q60" s="4">
        <v>2</v>
      </c>
      <c r="R60" s="1">
        <f t="shared" si="4"/>
        <v>2</v>
      </c>
      <c r="S60" s="141" t="s">
        <v>182</v>
      </c>
      <c r="T60" s="142" t="s">
        <v>182</v>
      </c>
      <c r="U60" s="142" t="s">
        <v>182</v>
      </c>
      <c r="V60" s="140" t="s">
        <v>182</v>
      </c>
      <c r="W60" s="200"/>
    </row>
    <row r="61" spans="1:23" ht="28.8" hidden="1" x14ac:dyDescent="0.3">
      <c r="A61" s="23" t="s">
        <v>146</v>
      </c>
      <c r="B61" s="23" t="s">
        <v>214</v>
      </c>
      <c r="C61" s="23" t="s">
        <v>257</v>
      </c>
      <c r="D61" s="23" t="s">
        <v>516</v>
      </c>
      <c r="E61" s="82" t="s">
        <v>261</v>
      </c>
      <c r="F61" s="4">
        <v>1</v>
      </c>
      <c r="G61" s="4">
        <v>5</v>
      </c>
      <c r="H61" s="1">
        <f t="shared" si="5"/>
        <v>5</v>
      </c>
      <c r="I61" s="81" t="s">
        <v>146</v>
      </c>
      <c r="J61" s="83" t="s">
        <v>267</v>
      </c>
      <c r="K61" s="84" t="s">
        <v>264</v>
      </c>
      <c r="L61" s="84" t="s">
        <v>220</v>
      </c>
      <c r="M61" s="168" t="s">
        <v>223</v>
      </c>
      <c r="N61" s="84" t="s">
        <v>265</v>
      </c>
      <c r="O61" s="207" t="s">
        <v>266</v>
      </c>
      <c r="P61" s="4">
        <v>1</v>
      </c>
      <c r="Q61" s="4">
        <v>5</v>
      </c>
      <c r="R61" s="1">
        <f t="shared" si="4"/>
        <v>5</v>
      </c>
      <c r="S61" s="83" t="s">
        <v>269</v>
      </c>
      <c r="T61" s="4">
        <v>3</v>
      </c>
      <c r="U61" s="4">
        <v>3</v>
      </c>
      <c r="V61" s="4">
        <v>9</v>
      </c>
    </row>
    <row r="62" spans="1:23" ht="57.6" hidden="1" x14ac:dyDescent="0.3">
      <c r="A62" s="82" t="s">
        <v>146</v>
      </c>
      <c r="B62" s="85" t="s">
        <v>214</v>
      </c>
      <c r="C62" s="85" t="s">
        <v>150</v>
      </c>
      <c r="D62" s="150" t="s">
        <v>268</v>
      </c>
      <c r="E62" s="82" t="s">
        <v>261</v>
      </c>
      <c r="F62" s="4">
        <v>3</v>
      </c>
      <c r="G62" s="4">
        <v>5</v>
      </c>
      <c r="H62" s="1">
        <f t="shared" si="5"/>
        <v>15</v>
      </c>
      <c r="I62" s="81" t="s">
        <v>146</v>
      </c>
      <c r="J62" s="250" t="s">
        <v>552</v>
      </c>
      <c r="K62" s="84" t="s">
        <v>234</v>
      </c>
      <c r="L62" s="84" t="s">
        <v>220</v>
      </c>
      <c r="M62" s="84" t="s">
        <v>221</v>
      </c>
      <c r="N62" s="137" t="s">
        <v>413</v>
      </c>
      <c r="O62" s="2">
        <v>45536</v>
      </c>
      <c r="P62" s="4">
        <v>3</v>
      </c>
      <c r="Q62" s="4">
        <v>5</v>
      </c>
      <c r="R62" s="1">
        <f t="shared" si="4"/>
        <v>15</v>
      </c>
      <c r="S62" s="16" t="s">
        <v>182</v>
      </c>
      <c r="T62" s="4" t="s">
        <v>182</v>
      </c>
      <c r="U62" s="4" t="s">
        <v>182</v>
      </c>
      <c r="V62" s="4" t="s">
        <v>182</v>
      </c>
    </row>
    <row r="63" spans="1:23" s="86" customFormat="1" ht="43.2" hidden="1" x14ac:dyDescent="0.3">
      <c r="A63" s="186" t="s">
        <v>217</v>
      </c>
      <c r="B63" s="186" t="s">
        <v>214</v>
      </c>
      <c r="C63" s="186" t="s">
        <v>271</v>
      </c>
      <c r="D63" s="186" t="s">
        <v>314</v>
      </c>
      <c r="E63" s="186" t="s">
        <v>315</v>
      </c>
      <c r="F63" s="187">
        <v>1</v>
      </c>
      <c r="G63" s="187">
        <v>3</v>
      </c>
      <c r="H63" s="1">
        <f t="shared" si="5"/>
        <v>3</v>
      </c>
      <c r="I63" s="187" t="s">
        <v>316</v>
      </c>
      <c r="J63" s="191" t="s">
        <v>471</v>
      </c>
      <c r="K63" s="191" t="s">
        <v>417</v>
      </c>
      <c r="L63" s="190" t="s">
        <v>233</v>
      </c>
      <c r="M63" s="190" t="s">
        <v>221</v>
      </c>
      <c r="N63" s="190" t="s">
        <v>472</v>
      </c>
      <c r="O63" s="240" t="s">
        <v>527</v>
      </c>
      <c r="P63" s="187">
        <v>1</v>
      </c>
      <c r="Q63" s="187">
        <v>3</v>
      </c>
      <c r="R63" s="1">
        <f t="shared" si="4"/>
        <v>3</v>
      </c>
      <c r="S63" s="191" t="s">
        <v>291</v>
      </c>
      <c r="T63" s="187">
        <v>3</v>
      </c>
      <c r="U63" s="187">
        <v>3</v>
      </c>
      <c r="V63" s="187">
        <f>T63*U63</f>
        <v>9</v>
      </c>
      <c r="W63" s="5"/>
    </row>
    <row r="64" spans="1:23" s="86" customFormat="1" ht="28.8" hidden="1" x14ac:dyDescent="0.3">
      <c r="A64" s="186" t="s">
        <v>217</v>
      </c>
      <c r="B64" s="186" t="s">
        <v>214</v>
      </c>
      <c r="C64" s="186" t="s">
        <v>271</v>
      </c>
      <c r="D64" s="186" t="s">
        <v>272</v>
      </c>
      <c r="E64" s="186" t="s">
        <v>315</v>
      </c>
      <c r="F64" s="187">
        <v>4</v>
      </c>
      <c r="G64" s="187">
        <v>1</v>
      </c>
      <c r="H64" s="1">
        <f t="shared" si="5"/>
        <v>4</v>
      </c>
      <c r="I64" s="187" t="s">
        <v>316</v>
      </c>
      <c r="J64" s="191" t="s">
        <v>317</v>
      </c>
      <c r="K64" s="191" t="s">
        <v>232</v>
      </c>
      <c r="L64" s="190" t="s">
        <v>233</v>
      </c>
      <c r="M64" s="190" t="s">
        <v>223</v>
      </c>
      <c r="N64" s="187" t="s">
        <v>318</v>
      </c>
      <c r="O64" s="187" t="s">
        <v>232</v>
      </c>
      <c r="P64" s="187">
        <v>3</v>
      </c>
      <c r="Q64" s="187">
        <v>1</v>
      </c>
      <c r="R64" s="1">
        <f t="shared" si="4"/>
        <v>3</v>
      </c>
      <c r="S64" s="189" t="s">
        <v>182</v>
      </c>
      <c r="T64" s="190" t="s">
        <v>182</v>
      </c>
      <c r="U64" s="190" t="s">
        <v>182</v>
      </c>
      <c r="V64" s="187" t="s">
        <v>182</v>
      </c>
      <c r="W64" s="201"/>
    </row>
    <row r="65" spans="1:23" s="86" customFormat="1" ht="28.8" hidden="1" x14ac:dyDescent="0.3">
      <c r="A65" s="186" t="s">
        <v>217</v>
      </c>
      <c r="B65" s="186" t="s">
        <v>214</v>
      </c>
      <c r="C65" s="186" t="s">
        <v>145</v>
      </c>
      <c r="D65" s="186" t="s">
        <v>467</v>
      </c>
      <c r="E65" s="186" t="s">
        <v>277</v>
      </c>
      <c r="F65" s="187">
        <v>5</v>
      </c>
      <c r="G65" s="187">
        <v>3</v>
      </c>
      <c r="H65" s="1">
        <f t="shared" si="5"/>
        <v>15</v>
      </c>
      <c r="I65" s="187" t="s">
        <v>395</v>
      </c>
      <c r="J65" s="191" t="s">
        <v>396</v>
      </c>
      <c r="K65" s="191" t="s">
        <v>232</v>
      </c>
      <c r="L65" s="190" t="s">
        <v>233</v>
      </c>
      <c r="M65" s="187" t="s">
        <v>312</v>
      </c>
      <c r="N65" s="187" t="s">
        <v>397</v>
      </c>
      <c r="O65" s="187" t="s">
        <v>232</v>
      </c>
      <c r="P65" s="187">
        <v>5</v>
      </c>
      <c r="Q65" s="187">
        <v>3</v>
      </c>
      <c r="R65" s="1">
        <f t="shared" si="4"/>
        <v>15</v>
      </c>
      <c r="S65" s="189" t="s">
        <v>182</v>
      </c>
      <c r="T65" s="190" t="s">
        <v>182</v>
      </c>
      <c r="U65" s="190" t="s">
        <v>182</v>
      </c>
      <c r="V65" s="187" t="s">
        <v>182</v>
      </c>
      <c r="W65" s="201"/>
    </row>
    <row r="66" spans="1:23" s="86" customFormat="1" ht="28.8" hidden="1" x14ac:dyDescent="0.3">
      <c r="A66" s="186" t="s">
        <v>217</v>
      </c>
      <c r="B66" s="186" t="s">
        <v>214</v>
      </c>
      <c r="C66" s="186" t="s">
        <v>145</v>
      </c>
      <c r="D66" s="188" t="s">
        <v>398</v>
      </c>
      <c r="E66" s="186" t="s">
        <v>277</v>
      </c>
      <c r="F66" s="187">
        <v>4</v>
      </c>
      <c r="G66" s="187">
        <v>2</v>
      </c>
      <c r="H66" s="1">
        <f t="shared" si="5"/>
        <v>8</v>
      </c>
      <c r="I66" s="187" t="s">
        <v>395</v>
      </c>
      <c r="J66" s="191" t="s">
        <v>399</v>
      </c>
      <c r="K66" s="191" t="s">
        <v>232</v>
      </c>
      <c r="L66" s="190" t="s">
        <v>233</v>
      </c>
      <c r="M66" s="187" t="s">
        <v>312</v>
      </c>
      <c r="N66" s="187" t="s">
        <v>397</v>
      </c>
      <c r="O66" s="187" t="s">
        <v>232</v>
      </c>
      <c r="P66" s="187">
        <v>4</v>
      </c>
      <c r="Q66" s="187">
        <v>2</v>
      </c>
      <c r="R66" s="1">
        <f t="shared" si="4"/>
        <v>8</v>
      </c>
      <c r="S66" s="189" t="s">
        <v>182</v>
      </c>
      <c r="T66" s="190" t="s">
        <v>182</v>
      </c>
      <c r="U66" s="190" t="s">
        <v>182</v>
      </c>
      <c r="V66" s="187" t="s">
        <v>182</v>
      </c>
      <c r="W66" s="201"/>
    </row>
    <row r="67" spans="1:23" s="86" customFormat="1" ht="28.8" hidden="1" x14ac:dyDescent="0.3">
      <c r="A67" s="186" t="s">
        <v>217</v>
      </c>
      <c r="B67" s="186" t="s">
        <v>214</v>
      </c>
      <c r="C67" s="186" t="s">
        <v>145</v>
      </c>
      <c r="D67" s="188" t="s">
        <v>400</v>
      </c>
      <c r="E67" s="186" t="s">
        <v>277</v>
      </c>
      <c r="F67" s="187">
        <v>1</v>
      </c>
      <c r="G67" s="187">
        <v>4</v>
      </c>
      <c r="H67" s="1">
        <f t="shared" si="5"/>
        <v>4</v>
      </c>
      <c r="I67" s="187" t="s">
        <v>395</v>
      </c>
      <c r="J67" s="191" t="s">
        <v>401</v>
      </c>
      <c r="K67" s="191" t="s">
        <v>402</v>
      </c>
      <c r="L67" s="187" t="s">
        <v>403</v>
      </c>
      <c r="M67" s="187" t="s">
        <v>221</v>
      </c>
      <c r="N67" s="187" t="s">
        <v>404</v>
      </c>
      <c r="O67" s="187" t="s">
        <v>266</v>
      </c>
      <c r="P67" s="187">
        <v>1</v>
      </c>
      <c r="Q67" s="187">
        <v>4</v>
      </c>
      <c r="R67" s="1">
        <f t="shared" si="4"/>
        <v>4</v>
      </c>
      <c r="S67" s="191" t="s">
        <v>286</v>
      </c>
      <c r="T67" s="187">
        <v>1</v>
      </c>
      <c r="U67" s="187">
        <v>4</v>
      </c>
      <c r="V67" s="187">
        <f>T67*U67</f>
        <v>4</v>
      </c>
      <c r="W67" s="5"/>
    </row>
    <row r="68" spans="1:23" s="86" customFormat="1" ht="43.2" hidden="1" x14ac:dyDescent="0.3">
      <c r="A68" s="186" t="s">
        <v>217</v>
      </c>
      <c r="B68" s="186" t="s">
        <v>214</v>
      </c>
      <c r="C68" s="186" t="s">
        <v>271</v>
      </c>
      <c r="D68" s="186" t="s">
        <v>319</v>
      </c>
      <c r="E68" s="186" t="s">
        <v>315</v>
      </c>
      <c r="F68" s="187">
        <v>1</v>
      </c>
      <c r="G68" s="187">
        <v>3</v>
      </c>
      <c r="H68" s="1">
        <f t="shared" si="5"/>
        <v>3</v>
      </c>
      <c r="I68" s="187" t="s">
        <v>316</v>
      </c>
      <c r="J68" s="186" t="s">
        <v>414</v>
      </c>
      <c r="K68" s="191" t="s">
        <v>232</v>
      </c>
      <c r="L68" s="187" t="s">
        <v>220</v>
      </c>
      <c r="M68" s="187" t="s">
        <v>221</v>
      </c>
      <c r="N68" s="187" t="s">
        <v>320</v>
      </c>
      <c r="O68" s="187" t="s">
        <v>232</v>
      </c>
      <c r="P68" s="187">
        <v>1</v>
      </c>
      <c r="Q68" s="187">
        <v>3</v>
      </c>
      <c r="R68" s="1">
        <f t="shared" si="4"/>
        <v>3</v>
      </c>
      <c r="S68" s="189" t="s">
        <v>182</v>
      </c>
      <c r="T68" s="190" t="s">
        <v>182</v>
      </c>
      <c r="U68" s="190" t="s">
        <v>182</v>
      </c>
      <c r="V68" s="187" t="s">
        <v>182</v>
      </c>
      <c r="W68" s="201"/>
    </row>
    <row r="69" spans="1:23" s="180" customFormat="1" ht="28.8" hidden="1" x14ac:dyDescent="0.3">
      <c r="A69" s="186" t="s">
        <v>217</v>
      </c>
      <c r="B69" s="186" t="s">
        <v>214</v>
      </c>
      <c r="C69" s="186" t="s">
        <v>273</v>
      </c>
      <c r="D69" s="186" t="s">
        <v>468</v>
      </c>
      <c r="E69" s="186" t="s">
        <v>303</v>
      </c>
      <c r="F69" s="190">
        <v>5</v>
      </c>
      <c r="G69" s="190">
        <v>3</v>
      </c>
      <c r="H69" s="1">
        <f t="shared" si="5"/>
        <v>15</v>
      </c>
      <c r="I69" s="187" t="s">
        <v>304</v>
      </c>
      <c r="J69" s="186" t="s">
        <v>473</v>
      </c>
      <c r="K69" s="191" t="s">
        <v>241</v>
      </c>
      <c r="L69" s="187" t="s">
        <v>233</v>
      </c>
      <c r="M69" s="187" t="s">
        <v>221</v>
      </c>
      <c r="N69" s="187" t="s">
        <v>305</v>
      </c>
      <c r="O69" s="240" t="s">
        <v>525</v>
      </c>
      <c r="P69" s="187">
        <v>5</v>
      </c>
      <c r="Q69" s="187">
        <v>3</v>
      </c>
      <c r="R69" s="1">
        <f t="shared" si="4"/>
        <v>15</v>
      </c>
      <c r="S69" s="191"/>
      <c r="T69" s="190" t="s">
        <v>182</v>
      </c>
      <c r="U69" s="190" t="s">
        <v>182</v>
      </c>
      <c r="V69" s="187" t="s">
        <v>182</v>
      </c>
    </row>
    <row r="70" spans="1:23" s="86" customFormat="1" ht="43.2" hidden="1" x14ac:dyDescent="0.3">
      <c r="A70" s="186" t="s">
        <v>217</v>
      </c>
      <c r="B70" s="188" t="s">
        <v>214</v>
      </c>
      <c r="C70" s="188" t="s">
        <v>276</v>
      </c>
      <c r="D70" s="188" t="s">
        <v>308</v>
      </c>
      <c r="E70" s="186" t="s">
        <v>278</v>
      </c>
      <c r="F70" s="190">
        <v>5</v>
      </c>
      <c r="G70" s="190">
        <v>2</v>
      </c>
      <c r="H70" s="1">
        <f t="shared" si="5"/>
        <v>10</v>
      </c>
      <c r="I70" s="187" t="s">
        <v>309</v>
      </c>
      <c r="J70" s="186" t="s">
        <v>310</v>
      </c>
      <c r="K70" s="191" t="s">
        <v>264</v>
      </c>
      <c r="L70" s="187" t="s">
        <v>311</v>
      </c>
      <c r="M70" s="187" t="s">
        <v>312</v>
      </c>
      <c r="N70" s="187" t="s">
        <v>313</v>
      </c>
      <c r="O70" s="187" t="s">
        <v>306</v>
      </c>
      <c r="P70" s="187">
        <v>4</v>
      </c>
      <c r="Q70" s="187">
        <v>2</v>
      </c>
      <c r="R70" s="1">
        <f t="shared" si="4"/>
        <v>8</v>
      </c>
      <c r="S70" s="191"/>
      <c r="T70" s="190" t="s">
        <v>182</v>
      </c>
      <c r="U70" s="190" t="s">
        <v>182</v>
      </c>
      <c r="V70" s="187" t="s">
        <v>182</v>
      </c>
      <c r="W70" s="201"/>
    </row>
    <row r="71" spans="1:23" s="180" customFormat="1" ht="86.4" hidden="1" x14ac:dyDescent="0.3">
      <c r="A71" s="186" t="s">
        <v>217</v>
      </c>
      <c r="B71" s="186" t="s">
        <v>214</v>
      </c>
      <c r="C71" s="186" t="s">
        <v>273</v>
      </c>
      <c r="D71" s="186" t="s">
        <v>469</v>
      </c>
      <c r="E71" s="186" t="s">
        <v>303</v>
      </c>
      <c r="F71" s="190">
        <v>5</v>
      </c>
      <c r="G71" s="190">
        <v>3</v>
      </c>
      <c r="H71" s="1">
        <v>15</v>
      </c>
      <c r="I71" s="187" t="s">
        <v>304</v>
      </c>
      <c r="J71" s="241" t="s">
        <v>526</v>
      </c>
      <c r="K71" s="191" t="s">
        <v>264</v>
      </c>
      <c r="L71" s="187" t="s">
        <v>220</v>
      </c>
      <c r="M71" s="187" t="s">
        <v>221</v>
      </c>
      <c r="N71" s="187" t="s">
        <v>474</v>
      </c>
      <c r="O71" s="187" t="s">
        <v>306</v>
      </c>
      <c r="P71" s="187">
        <v>5</v>
      </c>
      <c r="Q71" s="187">
        <v>3</v>
      </c>
      <c r="R71" s="1">
        <f t="shared" si="4"/>
        <v>15</v>
      </c>
      <c r="S71" s="191" t="s">
        <v>307</v>
      </c>
      <c r="T71" s="187">
        <v>4</v>
      </c>
      <c r="U71" s="187">
        <v>4</v>
      </c>
      <c r="V71" s="187">
        <v>16</v>
      </c>
    </row>
    <row r="72" spans="1:23" s="86" customFormat="1" ht="28.8" hidden="1" x14ac:dyDescent="0.3">
      <c r="A72" s="222" t="s">
        <v>217</v>
      </c>
      <c r="B72" s="222" t="s">
        <v>214</v>
      </c>
      <c r="C72" s="222" t="s">
        <v>282</v>
      </c>
      <c r="D72" s="222" t="s">
        <v>280</v>
      </c>
      <c r="E72" s="222" t="s">
        <v>281</v>
      </c>
      <c r="F72" s="223">
        <v>1</v>
      </c>
      <c r="G72" s="223">
        <v>3</v>
      </c>
      <c r="H72" s="1">
        <v>3</v>
      </c>
      <c r="I72" s="223" t="s">
        <v>282</v>
      </c>
      <c r="J72" s="231" t="s">
        <v>517</v>
      </c>
      <c r="K72" s="224" t="s">
        <v>234</v>
      </c>
      <c r="L72" s="223" t="s">
        <v>220</v>
      </c>
      <c r="M72" s="223" t="s">
        <v>221</v>
      </c>
      <c r="N72" s="223" t="s">
        <v>494</v>
      </c>
      <c r="O72" s="225">
        <v>45627</v>
      </c>
      <c r="P72" s="223">
        <v>1</v>
      </c>
      <c r="Q72" s="223">
        <v>3</v>
      </c>
      <c r="R72" s="1">
        <v>3</v>
      </c>
      <c r="S72" s="224" t="s">
        <v>283</v>
      </c>
      <c r="T72" s="223">
        <v>1</v>
      </c>
      <c r="U72" s="223">
        <v>5</v>
      </c>
      <c r="V72" s="223">
        <v>5</v>
      </c>
      <c r="W72" s="5"/>
    </row>
    <row r="73" spans="1:23" s="87" customFormat="1" ht="28.8" hidden="1" x14ac:dyDescent="0.3">
      <c r="A73" s="222" t="s">
        <v>217</v>
      </c>
      <c r="B73" s="222" t="s">
        <v>214</v>
      </c>
      <c r="C73" s="222" t="s">
        <v>282</v>
      </c>
      <c r="D73" s="222" t="s">
        <v>284</v>
      </c>
      <c r="E73" s="222" t="s">
        <v>281</v>
      </c>
      <c r="F73" s="1">
        <v>1</v>
      </c>
      <c r="G73" s="1">
        <v>2</v>
      </c>
      <c r="H73" s="1">
        <v>2</v>
      </c>
      <c r="I73" s="223" t="s">
        <v>282</v>
      </c>
      <c r="J73" s="222" t="s">
        <v>470</v>
      </c>
      <c r="K73" s="224" t="s">
        <v>219</v>
      </c>
      <c r="L73" s="223" t="s">
        <v>233</v>
      </c>
      <c r="M73" s="223" t="s">
        <v>221</v>
      </c>
      <c r="N73" s="223" t="s">
        <v>285</v>
      </c>
      <c r="O73" s="240" t="s">
        <v>519</v>
      </c>
      <c r="P73" s="223">
        <v>1</v>
      </c>
      <c r="Q73" s="223">
        <v>2</v>
      </c>
      <c r="R73" s="1">
        <v>2</v>
      </c>
      <c r="S73" s="224" t="s">
        <v>286</v>
      </c>
      <c r="T73" s="223">
        <v>3</v>
      </c>
      <c r="U73" s="223">
        <v>2</v>
      </c>
      <c r="V73" s="223">
        <v>6</v>
      </c>
      <c r="W73" s="5"/>
    </row>
    <row r="74" spans="1:23" s="87" customFormat="1" ht="72" hidden="1" x14ac:dyDescent="0.3">
      <c r="A74" s="222" t="s">
        <v>217</v>
      </c>
      <c r="B74" s="222" t="s">
        <v>214</v>
      </c>
      <c r="C74" s="222" t="s">
        <v>282</v>
      </c>
      <c r="D74" s="222" t="s">
        <v>388</v>
      </c>
      <c r="E74" s="222" t="s">
        <v>281</v>
      </c>
      <c r="F74" s="1">
        <v>2</v>
      </c>
      <c r="G74" s="1">
        <v>2</v>
      </c>
      <c r="H74" s="1">
        <v>4</v>
      </c>
      <c r="I74" s="223" t="s">
        <v>282</v>
      </c>
      <c r="J74" s="241" t="s">
        <v>531</v>
      </c>
      <c r="K74" s="224" t="s">
        <v>219</v>
      </c>
      <c r="L74" s="223" t="s">
        <v>233</v>
      </c>
      <c r="M74" s="223" t="s">
        <v>221</v>
      </c>
      <c r="N74" s="223" t="s">
        <v>437</v>
      </c>
      <c r="O74" s="225">
        <v>45627</v>
      </c>
      <c r="P74" s="166">
        <v>2</v>
      </c>
      <c r="Q74" s="166">
        <v>2</v>
      </c>
      <c r="R74" s="1">
        <v>8</v>
      </c>
      <c r="S74" s="224" t="s">
        <v>291</v>
      </c>
      <c r="T74" s="223">
        <v>3</v>
      </c>
      <c r="U74" s="223">
        <v>3</v>
      </c>
      <c r="V74" s="223">
        <v>9</v>
      </c>
      <c r="W74" s="201"/>
    </row>
    <row r="75" spans="1:23" s="86" customFormat="1" ht="129.6" hidden="1" x14ac:dyDescent="0.3">
      <c r="A75" s="186" t="s">
        <v>217</v>
      </c>
      <c r="B75" s="186" t="s">
        <v>216</v>
      </c>
      <c r="C75" s="186" t="s">
        <v>274</v>
      </c>
      <c r="D75" s="186" t="s">
        <v>288</v>
      </c>
      <c r="E75" s="186" t="s">
        <v>287</v>
      </c>
      <c r="F75" s="1">
        <v>2</v>
      </c>
      <c r="G75" s="1">
        <v>2</v>
      </c>
      <c r="H75" s="166">
        <v>4</v>
      </c>
      <c r="I75" s="187" t="s">
        <v>289</v>
      </c>
      <c r="J75" s="241" t="s">
        <v>530</v>
      </c>
      <c r="K75" s="243" t="s">
        <v>529</v>
      </c>
      <c r="L75" s="187" t="s">
        <v>233</v>
      </c>
      <c r="M75" s="187" t="s">
        <v>221</v>
      </c>
      <c r="N75" s="240" t="s">
        <v>528</v>
      </c>
      <c r="O75" s="187" t="s">
        <v>290</v>
      </c>
      <c r="P75" s="187">
        <v>2</v>
      </c>
      <c r="Q75" s="187">
        <v>2</v>
      </c>
      <c r="R75" s="1">
        <v>4</v>
      </c>
      <c r="S75" s="191" t="s">
        <v>291</v>
      </c>
      <c r="T75" s="187">
        <v>4</v>
      </c>
      <c r="U75" s="187">
        <v>4</v>
      </c>
      <c r="V75" s="187">
        <v>16</v>
      </c>
      <c r="W75" s="5"/>
    </row>
    <row r="76" spans="1:23" s="86" customFormat="1" ht="43.2" hidden="1" x14ac:dyDescent="0.3">
      <c r="A76" s="186" t="s">
        <v>217</v>
      </c>
      <c r="B76" s="186" t="s">
        <v>216</v>
      </c>
      <c r="C76" s="186" t="s">
        <v>274</v>
      </c>
      <c r="D76" s="186" t="s">
        <v>275</v>
      </c>
      <c r="E76" s="186" t="s">
        <v>287</v>
      </c>
      <c r="F76" s="187">
        <v>1</v>
      </c>
      <c r="G76" s="187">
        <v>5</v>
      </c>
      <c r="H76" s="1">
        <v>5</v>
      </c>
      <c r="I76" s="187" t="s">
        <v>289</v>
      </c>
      <c r="J76" s="186" t="s">
        <v>292</v>
      </c>
      <c r="K76" s="191" t="s">
        <v>264</v>
      </c>
      <c r="L76" s="187" t="s">
        <v>233</v>
      </c>
      <c r="M76" s="187" t="s">
        <v>242</v>
      </c>
      <c r="N76" s="187" t="s">
        <v>294</v>
      </c>
      <c r="O76" s="187" t="s">
        <v>293</v>
      </c>
      <c r="P76" s="187">
        <v>1</v>
      </c>
      <c r="Q76" s="187">
        <v>5</v>
      </c>
      <c r="R76" s="1">
        <v>5</v>
      </c>
      <c r="S76" s="191" t="s">
        <v>291</v>
      </c>
      <c r="T76" s="187">
        <v>4</v>
      </c>
      <c r="U76" s="187">
        <v>4</v>
      </c>
      <c r="V76" s="187">
        <v>16</v>
      </c>
      <c r="W76" s="5"/>
    </row>
    <row r="77" spans="1:23" s="86" customFormat="1" ht="28.8" hidden="1" x14ac:dyDescent="0.3">
      <c r="A77" s="186" t="s">
        <v>217</v>
      </c>
      <c r="B77" s="186" t="s">
        <v>214</v>
      </c>
      <c r="C77" s="186" t="s">
        <v>274</v>
      </c>
      <c r="D77" s="186" t="s">
        <v>438</v>
      </c>
      <c r="E77" s="186" t="s">
        <v>287</v>
      </c>
      <c r="F77" s="187">
        <v>1</v>
      </c>
      <c r="G77" s="187">
        <v>2</v>
      </c>
      <c r="H77" s="1">
        <v>2</v>
      </c>
      <c r="I77" s="187" t="s">
        <v>289</v>
      </c>
      <c r="J77" s="186" t="s">
        <v>295</v>
      </c>
      <c r="K77" s="191" t="s">
        <v>297</v>
      </c>
      <c r="L77" s="187" t="s">
        <v>233</v>
      </c>
      <c r="M77" s="187" t="s">
        <v>221</v>
      </c>
      <c r="N77" s="187" t="s">
        <v>298</v>
      </c>
      <c r="O77" s="187" t="s">
        <v>299</v>
      </c>
      <c r="P77" s="187">
        <v>1</v>
      </c>
      <c r="Q77" s="187">
        <v>2</v>
      </c>
      <c r="R77" s="1">
        <v>2</v>
      </c>
      <c r="S77" s="191" t="s">
        <v>291</v>
      </c>
      <c r="T77" s="187">
        <v>4</v>
      </c>
      <c r="U77" s="187">
        <v>4</v>
      </c>
      <c r="V77" s="187">
        <v>16</v>
      </c>
      <c r="W77" s="5"/>
    </row>
    <row r="78" spans="1:23" s="86" customFormat="1" ht="28.8" hidden="1" x14ac:dyDescent="0.3">
      <c r="A78" s="186" t="s">
        <v>432</v>
      </c>
      <c r="B78" s="186" t="s">
        <v>214</v>
      </c>
      <c r="C78" s="186" t="s">
        <v>274</v>
      </c>
      <c r="D78" s="186" t="s">
        <v>439</v>
      </c>
      <c r="E78" s="186" t="s">
        <v>287</v>
      </c>
      <c r="F78" s="187">
        <v>1</v>
      </c>
      <c r="G78" s="187">
        <v>2</v>
      </c>
      <c r="H78" s="1">
        <v>2</v>
      </c>
      <c r="I78" s="187" t="s">
        <v>289</v>
      </c>
      <c r="J78" s="186" t="s">
        <v>296</v>
      </c>
      <c r="K78" s="191" t="s">
        <v>297</v>
      </c>
      <c r="L78" s="187" t="s">
        <v>233</v>
      </c>
      <c r="M78" s="187" t="s">
        <v>221</v>
      </c>
      <c r="N78" s="187" t="s">
        <v>298</v>
      </c>
      <c r="O78" s="187" t="s">
        <v>299</v>
      </c>
      <c r="P78" s="187">
        <v>1</v>
      </c>
      <c r="Q78" s="187">
        <v>2</v>
      </c>
      <c r="R78" s="1">
        <v>2</v>
      </c>
      <c r="S78" s="191" t="s">
        <v>291</v>
      </c>
      <c r="T78" s="187">
        <v>4</v>
      </c>
      <c r="U78" s="187">
        <v>4</v>
      </c>
      <c r="V78" s="187">
        <v>16</v>
      </c>
    </row>
    <row r="79" spans="1:23" s="86" customFormat="1" ht="43.2" hidden="1" x14ac:dyDescent="0.3">
      <c r="A79" s="186" t="s">
        <v>217</v>
      </c>
      <c r="B79" s="186" t="s">
        <v>214</v>
      </c>
      <c r="C79" s="186" t="s">
        <v>274</v>
      </c>
      <c r="D79" s="186" t="s">
        <v>300</v>
      </c>
      <c r="E79" s="186" t="s">
        <v>287</v>
      </c>
      <c r="F79" s="187">
        <v>1</v>
      </c>
      <c r="G79" s="187">
        <v>2</v>
      </c>
      <c r="H79" s="1">
        <v>2</v>
      </c>
      <c r="I79" s="187" t="s">
        <v>289</v>
      </c>
      <c r="J79" s="186" t="s">
        <v>301</v>
      </c>
      <c r="K79" s="191" t="s">
        <v>219</v>
      </c>
      <c r="L79" s="187" t="s">
        <v>233</v>
      </c>
      <c r="M79" s="187" t="s">
        <v>221</v>
      </c>
      <c r="N79" s="187" t="s">
        <v>302</v>
      </c>
      <c r="O79" s="240" t="s">
        <v>519</v>
      </c>
      <c r="P79" s="187">
        <v>1</v>
      </c>
      <c r="Q79" s="187">
        <v>2</v>
      </c>
      <c r="R79" s="1">
        <v>2</v>
      </c>
      <c r="S79" s="191" t="s">
        <v>291</v>
      </c>
      <c r="T79" s="187">
        <v>4</v>
      </c>
      <c r="U79" s="187">
        <v>4</v>
      </c>
      <c r="V79" s="187">
        <v>16</v>
      </c>
      <c r="W79" s="5"/>
    </row>
    <row r="80" spans="1:23" ht="86.4" hidden="1" x14ac:dyDescent="0.3">
      <c r="A80" s="186" t="s">
        <v>217</v>
      </c>
      <c r="B80" s="186" t="s">
        <v>214</v>
      </c>
      <c r="C80" s="186" t="s">
        <v>415</v>
      </c>
      <c r="D80" s="186" t="s">
        <v>416</v>
      </c>
      <c r="E80" s="186" t="s">
        <v>278</v>
      </c>
      <c r="F80" s="187">
        <v>3</v>
      </c>
      <c r="G80" s="187">
        <v>4</v>
      </c>
      <c r="H80" s="1">
        <v>12</v>
      </c>
      <c r="I80" s="187" t="s">
        <v>276</v>
      </c>
      <c r="J80" s="212" t="s">
        <v>491</v>
      </c>
      <c r="K80" s="213" t="s">
        <v>493</v>
      </c>
      <c r="L80" s="186" t="s">
        <v>418</v>
      </c>
      <c r="M80" s="186" t="s">
        <v>420</v>
      </c>
      <c r="N80" s="212" t="s">
        <v>492</v>
      </c>
      <c r="O80" s="242" t="s">
        <v>527</v>
      </c>
      <c r="P80" s="187">
        <v>2</v>
      </c>
      <c r="Q80" s="187">
        <v>4</v>
      </c>
      <c r="R80" s="1">
        <v>8</v>
      </c>
      <c r="S80" s="191" t="s">
        <v>181</v>
      </c>
      <c r="T80" s="187">
        <v>3</v>
      </c>
      <c r="U80" s="187">
        <v>3</v>
      </c>
      <c r="V80" s="190">
        <v>9</v>
      </c>
    </row>
    <row r="81" spans="1:22" ht="28.8" hidden="1" x14ac:dyDescent="0.3">
      <c r="A81" s="186" t="s">
        <v>217</v>
      </c>
      <c r="B81" s="186" t="s">
        <v>214</v>
      </c>
      <c r="C81" s="186" t="s">
        <v>405</v>
      </c>
      <c r="D81" s="186" t="s">
        <v>419</v>
      </c>
      <c r="E81" s="186" t="s">
        <v>278</v>
      </c>
      <c r="F81" s="187">
        <v>2</v>
      </c>
      <c r="G81" s="187">
        <v>4</v>
      </c>
      <c r="H81" s="1">
        <v>8</v>
      </c>
      <c r="I81" s="187" t="s">
        <v>276</v>
      </c>
      <c r="J81" s="186" t="s">
        <v>406</v>
      </c>
      <c r="K81" s="191" t="s">
        <v>232</v>
      </c>
      <c r="L81" s="186" t="s">
        <v>233</v>
      </c>
      <c r="M81" s="186" t="s">
        <v>421</v>
      </c>
      <c r="N81" s="186" t="s">
        <v>422</v>
      </c>
      <c r="O81" s="192" t="s">
        <v>232</v>
      </c>
      <c r="P81" s="187">
        <v>2</v>
      </c>
      <c r="Q81" s="187">
        <v>4</v>
      </c>
      <c r="R81" s="1">
        <v>8</v>
      </c>
      <c r="S81" s="191" t="s">
        <v>181</v>
      </c>
      <c r="T81" s="187">
        <v>2</v>
      </c>
      <c r="U81" s="187">
        <v>3</v>
      </c>
      <c r="V81" s="190">
        <v>6</v>
      </c>
    </row>
    <row r="82" spans="1:22" ht="86.4" hidden="1" x14ac:dyDescent="0.3">
      <c r="A82" s="92" t="s">
        <v>125</v>
      </c>
      <c r="B82" s="92" t="s">
        <v>101</v>
      </c>
      <c r="C82" s="92" t="s">
        <v>331</v>
      </c>
      <c r="D82" s="238" t="s">
        <v>521</v>
      </c>
      <c r="E82" s="92" t="s">
        <v>330</v>
      </c>
      <c r="F82" s="4">
        <v>3</v>
      </c>
      <c r="G82" s="4">
        <v>4</v>
      </c>
      <c r="H82" s="1">
        <f t="shared" ref="H82:H86" si="6">+F82*G82</f>
        <v>12</v>
      </c>
      <c r="I82" s="100" t="s">
        <v>125</v>
      </c>
      <c r="J82" s="238" t="s">
        <v>522</v>
      </c>
      <c r="K82" s="100" t="s">
        <v>219</v>
      </c>
      <c r="L82" s="100" t="s">
        <v>233</v>
      </c>
      <c r="M82" s="100" t="s">
        <v>221</v>
      </c>
      <c r="N82" s="100" t="s">
        <v>347</v>
      </c>
      <c r="O82" s="239" t="s">
        <v>523</v>
      </c>
      <c r="P82" s="4">
        <v>2</v>
      </c>
      <c r="Q82" s="4">
        <v>4</v>
      </c>
      <c r="R82" s="1">
        <f t="shared" ref="R82:R86" si="7">P82*Q82</f>
        <v>8</v>
      </c>
      <c r="S82" s="101" t="s">
        <v>348</v>
      </c>
      <c r="T82" s="4">
        <v>4</v>
      </c>
      <c r="U82" s="4">
        <v>4</v>
      </c>
      <c r="V82" s="4">
        <v>16</v>
      </c>
    </row>
    <row r="83" spans="1:22" ht="86.4" hidden="1" x14ac:dyDescent="0.3">
      <c r="A83" s="92" t="s">
        <v>125</v>
      </c>
      <c r="B83" s="92" t="s">
        <v>101</v>
      </c>
      <c r="C83" s="92" t="s">
        <v>333</v>
      </c>
      <c r="D83" s="92" t="s">
        <v>332</v>
      </c>
      <c r="E83" s="19" t="s">
        <v>163</v>
      </c>
      <c r="F83" s="4">
        <v>2</v>
      </c>
      <c r="G83" s="4">
        <v>4</v>
      </c>
      <c r="H83" s="1">
        <f t="shared" si="6"/>
        <v>8</v>
      </c>
      <c r="I83" s="100" t="s">
        <v>125</v>
      </c>
      <c r="J83" s="238" t="s">
        <v>524</v>
      </c>
      <c r="K83" s="100" t="s">
        <v>219</v>
      </c>
      <c r="L83" s="100" t="s">
        <v>233</v>
      </c>
      <c r="M83" s="100" t="s">
        <v>221</v>
      </c>
      <c r="N83" s="169" t="s">
        <v>453</v>
      </c>
      <c r="O83" s="239" t="s">
        <v>519</v>
      </c>
      <c r="P83" s="4">
        <v>1</v>
      </c>
      <c r="Q83" s="4">
        <v>4</v>
      </c>
      <c r="R83" s="1">
        <f t="shared" si="7"/>
        <v>4</v>
      </c>
      <c r="S83" s="101" t="s">
        <v>349</v>
      </c>
      <c r="T83" s="4">
        <v>2</v>
      </c>
      <c r="U83" s="4">
        <v>3</v>
      </c>
      <c r="V83" s="4">
        <v>6</v>
      </c>
    </row>
    <row r="84" spans="1:22" s="233" customFormat="1" ht="28.8" hidden="1" x14ac:dyDescent="0.3">
      <c r="A84" s="23" t="s">
        <v>213</v>
      </c>
      <c r="B84" s="232" t="s">
        <v>214</v>
      </c>
      <c r="C84" s="232" t="s">
        <v>335</v>
      </c>
      <c r="D84" s="232" t="s">
        <v>500</v>
      </c>
      <c r="E84" s="23" t="s">
        <v>171</v>
      </c>
      <c r="F84" s="1">
        <v>3</v>
      </c>
      <c r="G84" s="1">
        <v>4</v>
      </c>
      <c r="H84" s="1">
        <f t="shared" si="6"/>
        <v>12</v>
      </c>
      <c r="I84" s="230" t="s">
        <v>213</v>
      </c>
      <c r="J84" s="23" t="s">
        <v>465</v>
      </c>
      <c r="K84" s="1" t="s">
        <v>219</v>
      </c>
      <c r="L84" s="1" t="s">
        <v>378</v>
      </c>
      <c r="M84" s="1" t="s">
        <v>379</v>
      </c>
      <c r="N84" s="1" t="s">
        <v>380</v>
      </c>
      <c r="O84" s="1" t="s">
        <v>219</v>
      </c>
      <c r="P84" s="1">
        <v>1</v>
      </c>
      <c r="Q84" s="1">
        <v>4</v>
      </c>
      <c r="R84" s="1">
        <f t="shared" si="7"/>
        <v>4</v>
      </c>
      <c r="S84" s="37" t="s">
        <v>501</v>
      </c>
      <c r="T84" s="1">
        <v>4</v>
      </c>
      <c r="U84" s="1">
        <v>4</v>
      </c>
      <c r="V84" s="1">
        <f>T84*U84</f>
        <v>16</v>
      </c>
    </row>
    <row r="85" spans="1:22" ht="28.8" hidden="1" x14ac:dyDescent="0.3">
      <c r="A85" s="23" t="s">
        <v>213</v>
      </c>
      <c r="B85" s="232" t="s">
        <v>214</v>
      </c>
      <c r="C85" s="232" t="s">
        <v>129</v>
      </c>
      <c r="D85" s="232" t="s">
        <v>515</v>
      </c>
      <c r="E85" s="106" t="s">
        <v>355</v>
      </c>
      <c r="F85" s="4">
        <v>1</v>
      </c>
      <c r="G85" s="4">
        <v>3</v>
      </c>
      <c r="H85" s="1">
        <f t="shared" si="6"/>
        <v>3</v>
      </c>
      <c r="I85" s="114" t="s">
        <v>213</v>
      </c>
      <c r="J85" s="176" t="s">
        <v>466</v>
      </c>
      <c r="K85" s="114" t="s">
        <v>232</v>
      </c>
      <c r="L85" s="114" t="s">
        <v>220</v>
      </c>
      <c r="M85" s="114" t="s">
        <v>221</v>
      </c>
      <c r="N85" s="114" t="s">
        <v>381</v>
      </c>
      <c r="O85" s="245" t="s">
        <v>232</v>
      </c>
      <c r="P85" s="4">
        <v>1</v>
      </c>
      <c r="Q85" s="4">
        <v>3</v>
      </c>
      <c r="R85" s="1">
        <f t="shared" si="7"/>
        <v>3</v>
      </c>
      <c r="S85" s="16"/>
      <c r="T85" s="4"/>
      <c r="U85" s="4"/>
      <c r="V85" s="4"/>
    </row>
    <row r="86" spans="1:22" ht="43.2" hidden="1" x14ac:dyDescent="0.3">
      <c r="A86" s="23" t="s">
        <v>120</v>
      </c>
      <c r="B86" s="232" t="s">
        <v>214</v>
      </c>
      <c r="C86" s="232" t="s">
        <v>548</v>
      </c>
      <c r="D86" s="232" t="s">
        <v>544</v>
      </c>
      <c r="E86" s="106" t="s">
        <v>543</v>
      </c>
      <c r="F86" s="4">
        <v>4</v>
      </c>
      <c r="G86" s="4">
        <v>3</v>
      </c>
      <c r="H86" s="1">
        <f t="shared" si="6"/>
        <v>12</v>
      </c>
      <c r="I86" s="245" t="s">
        <v>120</v>
      </c>
      <c r="J86" s="244" t="s">
        <v>545</v>
      </c>
      <c r="K86" s="245" t="s">
        <v>234</v>
      </c>
      <c r="L86" s="245" t="s">
        <v>220</v>
      </c>
      <c r="M86" s="1" t="s">
        <v>379</v>
      </c>
      <c r="N86" s="245" t="s">
        <v>546</v>
      </c>
      <c r="O86" s="245" t="s">
        <v>547</v>
      </c>
      <c r="P86" s="4">
        <v>4</v>
      </c>
      <c r="Q86" s="4">
        <v>3</v>
      </c>
      <c r="R86" s="1">
        <f t="shared" si="7"/>
        <v>12</v>
      </c>
      <c r="S86" s="16"/>
      <c r="T86" s="4"/>
      <c r="U86" s="4"/>
      <c r="V86" s="4"/>
    </row>
    <row r="88" spans="1:22" x14ac:dyDescent="0.3">
      <c r="A88" s="331" t="s">
        <v>573</v>
      </c>
      <c r="B88" s="331"/>
      <c r="C88" s="331"/>
    </row>
    <row r="89" spans="1:22" ht="30" customHeight="1" x14ac:dyDescent="0.3">
      <c r="A89" s="332" t="s">
        <v>574</v>
      </c>
      <c r="B89" s="332"/>
      <c r="C89" s="164"/>
    </row>
    <row r="90" spans="1:22" ht="57.6" customHeight="1" x14ac:dyDescent="0.3"/>
  </sheetData>
  <autoFilter ref="A6:V86" xr:uid="{00000000-0009-0000-0000-000000000000}">
    <filterColumn colId="0">
      <filters>
        <filter val="GENEL"/>
        <filter val="GS"/>
      </filters>
    </filterColumn>
  </autoFilter>
  <mergeCells count="11">
    <mergeCell ref="A88:C88"/>
    <mergeCell ref="A89:B89"/>
    <mergeCell ref="S1:V1"/>
    <mergeCell ref="A2:V2"/>
    <mergeCell ref="D3:J3"/>
    <mergeCell ref="D4:J4"/>
    <mergeCell ref="S3:V3"/>
    <mergeCell ref="S4:V4"/>
    <mergeCell ref="A1:R1"/>
    <mergeCell ref="A3:C3"/>
    <mergeCell ref="A4:C4"/>
  </mergeCells>
  <phoneticPr fontId="65" type="noConversion"/>
  <conditionalFormatting sqref="H7:H86">
    <cfRule type="cellIs" dxfId="19" priority="6" stopIfTrue="1" operator="between">
      <formula>1</formula>
      <formula>2</formula>
    </cfRule>
    <cfRule type="cellIs" dxfId="18" priority="7" stopIfTrue="1" operator="between">
      <formula>3</formula>
      <formula>5</formula>
    </cfRule>
    <cfRule type="cellIs" dxfId="17" priority="8" stopIfTrue="1" operator="between">
      <formula>6</formula>
      <formula>12</formula>
    </cfRule>
    <cfRule type="cellIs" dxfId="16" priority="9" stopIfTrue="1" operator="between">
      <formula>13</formula>
      <formula>20</formula>
    </cfRule>
    <cfRule type="cellIs" dxfId="15" priority="10" stopIfTrue="1" operator="between">
      <formula>21</formula>
      <formula>25</formula>
    </cfRule>
  </conditionalFormatting>
  <conditionalFormatting sqref="R7:R86">
    <cfRule type="cellIs" dxfId="14" priority="1" stopIfTrue="1" operator="between">
      <formula>1</formula>
      <formula>2</formula>
    </cfRule>
    <cfRule type="cellIs" dxfId="13" priority="2" stopIfTrue="1" operator="between">
      <formula>3</formula>
      <formula>5</formula>
    </cfRule>
    <cfRule type="cellIs" dxfId="12" priority="3" stopIfTrue="1" operator="between">
      <formula>6</formula>
      <formula>12</formula>
    </cfRule>
    <cfRule type="cellIs" dxfId="11" priority="4" stopIfTrue="1" operator="between">
      <formula>13</formula>
      <formula>20</formula>
    </cfRule>
    <cfRule type="cellIs" dxfId="10" priority="5" stopIfTrue="1" operator="between">
      <formula>21</formula>
      <formula>25</formula>
    </cfRule>
  </conditionalFormatting>
  <conditionalFormatting sqref="V2:W2 V5:W1048576">
    <cfRule type="cellIs" dxfId="9" priority="1564" operator="between">
      <formula>1</formula>
      <formula>4</formula>
    </cfRule>
    <cfRule type="cellIs" dxfId="8" priority="1565" operator="between">
      <formula>5</formula>
      <formula>11</formula>
    </cfRule>
    <cfRule type="cellIs" dxfId="7" priority="1567" operator="between">
      <formula>12</formula>
      <formula>19</formula>
    </cfRule>
    <cfRule type="cellIs" dxfId="6" priority="1568" operator="between">
      <formula>20</formula>
      <formula>25</formula>
    </cfRule>
  </conditionalFormatting>
  <conditionalFormatting sqref="V6:W6">
    <cfRule type="cellIs" dxfId="5" priority="1748" operator="between">
      <formula>16</formula>
      <formula>25</formula>
    </cfRule>
    <cfRule type="cellIs" dxfId="4" priority="1749" operator="between">
      <formula>1</formula>
      <formula>8</formula>
    </cfRule>
    <cfRule type="cellIs" dxfId="3" priority="1750" operator="between">
      <formula>9</formula>
      <formula>15</formula>
    </cfRule>
    <cfRule type="cellIs" dxfId="2" priority="1751" operator="between">
      <formula>1</formula>
      <formula>8</formula>
    </cfRule>
    <cfRule type="cellIs" dxfId="1" priority="1752" operator="between">
      <formula>9</formula>
      <formula>15</formula>
    </cfRule>
  </conditionalFormatting>
  <printOptions horizontalCentered="1"/>
  <pageMargins left="0.23622047244094491" right="0.23622047244094491" top="0.74803149606299213" bottom="0.74803149606299213" header="0.31496062992125984" footer="0.31496062992125984"/>
  <pageSetup paperSize="9" scale="40" orientation="landscape" r:id="rId1"/>
  <headerFooter>
    <oddFooter>&amp;L&amp;10PR10.FR01 Yayın Tarihi:02.01.2018 Rev.No:00 Rev.Tar:00</oddFooter>
  </headerFooter>
  <drawing r:id="rId2"/>
  <extLst>
    <ext xmlns:x14="http://schemas.microsoft.com/office/spreadsheetml/2009/9/main" uri="{78C0D931-6437-407d-A8EE-F0AAD7539E65}">
      <x14:conditionalFormattings>
        <x14:conditionalFormatting xmlns:xm="http://schemas.microsoft.com/office/excel/2006/main">
          <x14:cfRule type="containsText" priority="1569" operator="containsText" id="{D3C3D859-0214-4DEE-BA15-3C69B7681F69}">
            <xm:f>NOT(ISERROR(SEARCH("-",V2)))</xm:f>
            <xm:f>"-"</xm:f>
            <x14:dxf>
              <font>
                <color rgb="FF9C0006"/>
              </font>
              <fill>
                <patternFill>
                  <bgColor rgb="FFFFC7CE"/>
                </patternFill>
              </fill>
            </x14:dxf>
          </x14:cfRule>
          <xm:sqref>V2:W2 V5:W1048576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5"/>
  <sheetViews>
    <sheetView topLeftCell="A2" zoomScale="85" zoomScaleNormal="85" workbookViewId="0">
      <selection activeCell="B8" sqref="B8:F8"/>
    </sheetView>
  </sheetViews>
  <sheetFormatPr defaultColWidth="8.796875" defaultRowHeight="14.4" x14ac:dyDescent="0.3"/>
  <cols>
    <col min="1" max="1" width="11.296875" style="26" customWidth="1"/>
    <col min="2" max="6" width="30.59765625" style="26" customWidth="1"/>
    <col min="7" max="16384" width="8.796875" style="26"/>
  </cols>
  <sheetData>
    <row r="1" spans="1:8" ht="39" customHeight="1" x14ac:dyDescent="0.3">
      <c r="A1" s="318" t="s">
        <v>43</v>
      </c>
      <c r="B1" s="319"/>
      <c r="C1" s="319"/>
      <c r="D1" s="319"/>
      <c r="E1" s="319"/>
      <c r="F1" s="320"/>
    </row>
    <row r="2" spans="1:8" x14ac:dyDescent="0.3">
      <c r="A2" s="321" t="s">
        <v>44</v>
      </c>
      <c r="B2" s="322"/>
      <c r="C2" s="322"/>
      <c r="D2" s="322"/>
      <c r="E2" s="322"/>
      <c r="F2" s="323"/>
    </row>
    <row r="3" spans="1:8" s="27" customFormat="1" x14ac:dyDescent="0.3">
      <c r="A3" s="315" t="s">
        <v>45</v>
      </c>
      <c r="B3" s="316"/>
      <c r="C3" s="316"/>
      <c r="D3" s="316"/>
      <c r="E3" s="316"/>
      <c r="F3" s="317"/>
    </row>
    <row r="4" spans="1:8" x14ac:dyDescent="0.3">
      <c r="A4" s="324" t="s">
        <v>46</v>
      </c>
      <c r="B4" s="325"/>
      <c r="C4" s="325"/>
      <c r="D4" s="325"/>
      <c r="E4" s="325"/>
      <c r="F4" s="326"/>
    </row>
    <row r="5" spans="1:8" x14ac:dyDescent="0.3">
      <c r="A5" s="327"/>
      <c r="B5" s="325"/>
      <c r="C5" s="325"/>
      <c r="D5" s="325"/>
      <c r="E5" s="325"/>
      <c r="F5" s="326"/>
    </row>
    <row r="6" spans="1:8" x14ac:dyDescent="0.3">
      <c r="A6" s="28"/>
      <c r="B6" s="29" t="s">
        <v>47</v>
      </c>
      <c r="C6" s="30" t="s">
        <v>48</v>
      </c>
      <c r="D6" s="31" t="s">
        <v>49</v>
      </c>
      <c r="E6" s="32" t="s">
        <v>50</v>
      </c>
      <c r="F6" s="33" t="s">
        <v>51</v>
      </c>
    </row>
    <row r="7" spans="1:8" ht="31.8" customHeight="1" x14ac:dyDescent="0.3">
      <c r="A7" s="34" t="s">
        <v>39</v>
      </c>
      <c r="B7" s="35" t="s">
        <v>52</v>
      </c>
      <c r="C7" s="35" t="s">
        <v>202</v>
      </c>
      <c r="D7" s="35" t="s">
        <v>53</v>
      </c>
      <c r="E7" s="35" t="s">
        <v>54</v>
      </c>
      <c r="F7" s="36" t="s">
        <v>55</v>
      </c>
    </row>
    <row r="8" spans="1:8" ht="43.2" x14ac:dyDescent="0.3">
      <c r="A8" s="34" t="s">
        <v>38</v>
      </c>
      <c r="B8" s="255" t="s">
        <v>559</v>
      </c>
      <c r="C8" s="255" t="s">
        <v>560</v>
      </c>
      <c r="D8" s="255" t="s">
        <v>561</v>
      </c>
      <c r="E8" s="255" t="s">
        <v>562</v>
      </c>
      <c r="F8" s="256" t="s">
        <v>563</v>
      </c>
    </row>
    <row r="9" spans="1:8" ht="100.8" x14ac:dyDescent="0.3">
      <c r="A9" s="34" t="s">
        <v>56</v>
      </c>
      <c r="B9" s="38" t="s">
        <v>57</v>
      </c>
      <c r="C9" s="39" t="s">
        <v>98</v>
      </c>
      <c r="D9" s="39" t="s">
        <v>93</v>
      </c>
      <c r="E9" s="39" t="s">
        <v>58</v>
      </c>
      <c r="F9" s="40" t="s">
        <v>59</v>
      </c>
    </row>
    <row r="10" spans="1:8" ht="72" x14ac:dyDescent="0.3">
      <c r="A10" s="34" t="s">
        <v>216</v>
      </c>
      <c r="B10" s="39" t="s">
        <v>203</v>
      </c>
      <c r="C10" s="39" t="s">
        <v>94</v>
      </c>
      <c r="D10" s="39" t="s">
        <v>96</v>
      </c>
      <c r="E10" s="39" t="s">
        <v>99</v>
      </c>
      <c r="F10" s="40" t="s">
        <v>95</v>
      </c>
    </row>
    <row r="11" spans="1:8" ht="58.2" thickBot="1" x14ac:dyDescent="0.35">
      <c r="A11" s="41" t="s">
        <v>100</v>
      </c>
      <c r="B11" s="42" t="s">
        <v>60</v>
      </c>
      <c r="C11" s="42" t="s">
        <v>61</v>
      </c>
      <c r="D11" s="42" t="s">
        <v>62</v>
      </c>
      <c r="E11" s="42" t="s">
        <v>63</v>
      </c>
      <c r="F11" s="43" t="s">
        <v>64</v>
      </c>
      <c r="H11" s="44"/>
    </row>
    <row r="12" spans="1:8" x14ac:dyDescent="0.3">
      <c r="A12" s="275" t="s">
        <v>65</v>
      </c>
      <c r="B12" s="276"/>
      <c r="C12" s="276"/>
      <c r="D12" s="276"/>
      <c r="E12" s="276"/>
      <c r="F12" s="277"/>
    </row>
    <row r="13" spans="1:8" s="27" customFormat="1" x14ac:dyDescent="0.3">
      <c r="A13" s="315" t="s">
        <v>66</v>
      </c>
      <c r="B13" s="316"/>
      <c r="C13" s="316"/>
      <c r="D13" s="316"/>
      <c r="E13" s="316"/>
      <c r="F13" s="317"/>
    </row>
    <row r="14" spans="1:8" x14ac:dyDescent="0.3">
      <c r="A14" s="45"/>
      <c r="B14" s="29" t="s">
        <v>47</v>
      </c>
      <c r="C14" s="30" t="s">
        <v>67</v>
      </c>
      <c r="D14" s="31" t="s">
        <v>49</v>
      </c>
      <c r="E14" s="32" t="s">
        <v>68</v>
      </c>
      <c r="F14" s="33" t="s">
        <v>69</v>
      </c>
    </row>
    <row r="15" spans="1:8" x14ac:dyDescent="0.3">
      <c r="A15" s="302" t="s">
        <v>97</v>
      </c>
      <c r="B15" s="46" t="s">
        <v>70</v>
      </c>
      <c r="C15" s="46" t="s">
        <v>71</v>
      </c>
      <c r="D15" s="46" t="s">
        <v>72</v>
      </c>
      <c r="E15" s="46" t="s">
        <v>73</v>
      </c>
      <c r="F15" s="47" t="s">
        <v>74</v>
      </c>
    </row>
    <row r="16" spans="1:8" ht="15" thickBot="1" x14ac:dyDescent="0.35">
      <c r="A16" s="303"/>
      <c r="B16" s="48" t="s">
        <v>75</v>
      </c>
      <c r="C16" s="8" t="s">
        <v>76</v>
      </c>
      <c r="D16" s="8" t="s">
        <v>77</v>
      </c>
      <c r="E16" s="8" t="s">
        <v>78</v>
      </c>
      <c r="F16" s="49" t="s">
        <v>79</v>
      </c>
    </row>
    <row r="17" spans="1:6" x14ac:dyDescent="0.3">
      <c r="A17" s="275" t="s">
        <v>104</v>
      </c>
      <c r="B17" s="276"/>
      <c r="C17" s="276"/>
      <c r="D17" s="276"/>
      <c r="E17" s="276"/>
      <c r="F17" s="277"/>
    </row>
    <row r="18" spans="1:6" x14ac:dyDescent="0.3">
      <c r="A18" s="50" t="s">
        <v>80</v>
      </c>
      <c r="B18" s="308" t="s">
        <v>81</v>
      </c>
      <c r="C18" s="308"/>
      <c r="D18" s="309" t="s">
        <v>82</v>
      </c>
      <c r="E18" s="310"/>
      <c r="F18" s="311"/>
    </row>
    <row r="19" spans="1:6" ht="59.1" customHeight="1" x14ac:dyDescent="0.3">
      <c r="A19" s="51" t="s">
        <v>83</v>
      </c>
      <c r="B19" s="304" t="s">
        <v>84</v>
      </c>
      <c r="C19" s="304"/>
      <c r="D19" s="312" t="s">
        <v>85</v>
      </c>
      <c r="E19" s="313"/>
      <c r="F19" s="314"/>
    </row>
    <row r="20" spans="1:6" ht="59.1" customHeight="1" x14ac:dyDescent="0.3">
      <c r="A20" s="51" t="s">
        <v>86</v>
      </c>
      <c r="B20" s="305" t="s">
        <v>87</v>
      </c>
      <c r="C20" s="305"/>
      <c r="D20" s="312" t="s">
        <v>88</v>
      </c>
      <c r="E20" s="313"/>
      <c r="F20" s="314"/>
    </row>
    <row r="21" spans="1:6" ht="59.1" customHeight="1" x14ac:dyDescent="0.3">
      <c r="A21" s="51" t="s">
        <v>42</v>
      </c>
      <c r="B21" s="307" t="s">
        <v>89</v>
      </c>
      <c r="C21" s="307"/>
      <c r="D21" s="312" t="s">
        <v>90</v>
      </c>
      <c r="E21" s="313"/>
      <c r="F21" s="314"/>
    </row>
    <row r="22" spans="1:6" ht="59.1" customHeight="1" x14ac:dyDescent="0.3">
      <c r="A22" s="51" t="s">
        <v>41</v>
      </c>
      <c r="B22" s="306" t="s">
        <v>91</v>
      </c>
      <c r="C22" s="306"/>
      <c r="D22" s="312" t="s">
        <v>103</v>
      </c>
      <c r="E22" s="313"/>
      <c r="F22" s="314"/>
    </row>
    <row r="23" spans="1:6" ht="59.1" customHeight="1" thickBot="1" x14ac:dyDescent="0.35">
      <c r="A23" s="51" t="s">
        <v>40</v>
      </c>
      <c r="B23" s="278" t="s">
        <v>92</v>
      </c>
      <c r="C23" s="278"/>
      <c r="D23" s="279" t="s">
        <v>102</v>
      </c>
      <c r="E23" s="280"/>
      <c r="F23" s="281"/>
    </row>
    <row r="24" spans="1:6" x14ac:dyDescent="0.3">
      <c r="A24" s="275" t="s">
        <v>105</v>
      </c>
      <c r="B24" s="276"/>
      <c r="C24" s="276"/>
      <c r="D24" s="276"/>
      <c r="E24" s="276"/>
      <c r="F24" s="277"/>
    </row>
    <row r="25" spans="1:6" s="52" customFormat="1" x14ac:dyDescent="0.3">
      <c r="A25" s="294" t="s">
        <v>3</v>
      </c>
      <c r="B25" s="295"/>
      <c r="C25" s="295"/>
      <c r="D25" s="296" t="s">
        <v>18</v>
      </c>
      <c r="E25" s="296"/>
      <c r="F25" s="297"/>
    </row>
    <row r="26" spans="1:6" s="52" customFormat="1" x14ac:dyDescent="0.3">
      <c r="A26" s="53">
        <v>1</v>
      </c>
      <c r="B26" s="54" t="s">
        <v>4</v>
      </c>
      <c r="C26" s="54" t="s">
        <v>5</v>
      </c>
      <c r="D26" s="54">
        <v>1</v>
      </c>
      <c r="E26" s="54" t="s">
        <v>6</v>
      </c>
      <c r="F26" s="55" t="s">
        <v>7</v>
      </c>
    </row>
    <row r="27" spans="1:6" s="52" customFormat="1" x14ac:dyDescent="0.3">
      <c r="A27" s="53">
        <v>2</v>
      </c>
      <c r="B27" s="54" t="s">
        <v>8</v>
      </c>
      <c r="C27" s="54" t="s">
        <v>9</v>
      </c>
      <c r="D27" s="54">
        <v>2</v>
      </c>
      <c r="E27" s="54" t="s">
        <v>8</v>
      </c>
      <c r="F27" s="55" t="s">
        <v>23</v>
      </c>
    </row>
    <row r="28" spans="1:6" s="52" customFormat="1" x14ac:dyDescent="0.3">
      <c r="A28" s="53">
        <v>3</v>
      </c>
      <c r="B28" s="54" t="s">
        <v>10</v>
      </c>
      <c r="C28" s="54" t="s">
        <v>12</v>
      </c>
      <c r="D28" s="54">
        <v>3</v>
      </c>
      <c r="E28" s="54" t="s">
        <v>10</v>
      </c>
      <c r="F28" s="55" t="s">
        <v>24</v>
      </c>
    </row>
    <row r="29" spans="1:6" s="52" customFormat="1" x14ac:dyDescent="0.3">
      <c r="A29" s="53">
        <v>4</v>
      </c>
      <c r="B29" s="54" t="s">
        <v>21</v>
      </c>
      <c r="C29" s="54" t="s">
        <v>19</v>
      </c>
      <c r="D29" s="54">
        <v>4</v>
      </c>
      <c r="E29" s="54" t="s">
        <v>11</v>
      </c>
      <c r="F29" s="55" t="s">
        <v>25</v>
      </c>
    </row>
    <row r="30" spans="1:6" s="52" customFormat="1" ht="15" thickBot="1" x14ac:dyDescent="0.35">
      <c r="A30" s="56">
        <v>5</v>
      </c>
      <c r="B30" s="57" t="s">
        <v>22</v>
      </c>
      <c r="C30" s="57" t="s">
        <v>20</v>
      </c>
      <c r="D30" s="57">
        <v>5</v>
      </c>
      <c r="E30" s="57" t="s">
        <v>13</v>
      </c>
      <c r="F30" s="58" t="s">
        <v>26</v>
      </c>
    </row>
    <row r="31" spans="1:6" s="52" customFormat="1" x14ac:dyDescent="0.3">
      <c r="A31" s="275" t="s">
        <v>106</v>
      </c>
      <c r="B31" s="276"/>
      <c r="C31" s="276"/>
      <c r="D31" s="276"/>
      <c r="E31" s="276"/>
      <c r="F31" s="277"/>
    </row>
    <row r="32" spans="1:6" s="52" customFormat="1" ht="30" customHeight="1" x14ac:dyDescent="0.3">
      <c r="A32" s="298" t="s">
        <v>14</v>
      </c>
      <c r="B32" s="299"/>
      <c r="C32" s="300" t="s">
        <v>189</v>
      </c>
      <c r="D32" s="300"/>
      <c r="E32" s="300"/>
      <c r="F32" s="301"/>
    </row>
    <row r="33" spans="1:6" s="52" customFormat="1" ht="30" customHeight="1" x14ac:dyDescent="0.3">
      <c r="A33" s="282" t="s">
        <v>15</v>
      </c>
      <c r="B33" s="283"/>
      <c r="C33" s="284" t="s">
        <v>27</v>
      </c>
      <c r="D33" s="284"/>
      <c r="E33" s="284"/>
      <c r="F33" s="285"/>
    </row>
    <row r="34" spans="1:6" s="52" customFormat="1" ht="30" customHeight="1" x14ac:dyDescent="0.3">
      <c r="A34" s="286" t="s">
        <v>16</v>
      </c>
      <c r="B34" s="287"/>
      <c r="C34" s="288" t="s">
        <v>28</v>
      </c>
      <c r="D34" s="288"/>
      <c r="E34" s="288"/>
      <c r="F34" s="289"/>
    </row>
    <row r="35" spans="1:6" s="52" customFormat="1" ht="30" customHeight="1" thickBot="1" x14ac:dyDescent="0.35">
      <c r="A35" s="290" t="s">
        <v>17</v>
      </c>
      <c r="B35" s="291"/>
      <c r="C35" s="292" t="s">
        <v>190</v>
      </c>
      <c r="D35" s="292"/>
      <c r="E35" s="292"/>
      <c r="F35" s="293"/>
    </row>
  </sheetData>
  <mergeCells count="32">
    <mergeCell ref="A13:F13"/>
    <mergeCell ref="A1:F1"/>
    <mergeCell ref="A2:F2"/>
    <mergeCell ref="A3:F3"/>
    <mergeCell ref="A4:F5"/>
    <mergeCell ref="A12:F12"/>
    <mergeCell ref="A15:A16"/>
    <mergeCell ref="B19:C19"/>
    <mergeCell ref="B20:C20"/>
    <mergeCell ref="B22:C22"/>
    <mergeCell ref="B21:C21"/>
    <mergeCell ref="A17:F17"/>
    <mergeCell ref="B18:C18"/>
    <mergeCell ref="D18:F18"/>
    <mergeCell ref="D19:F19"/>
    <mergeCell ref="D20:F20"/>
    <mergeCell ref="D21:F21"/>
    <mergeCell ref="D22:F22"/>
    <mergeCell ref="A34:B34"/>
    <mergeCell ref="C34:F34"/>
    <mergeCell ref="A35:B35"/>
    <mergeCell ref="C35:F35"/>
    <mergeCell ref="A25:C25"/>
    <mergeCell ref="D25:F25"/>
    <mergeCell ref="A31:F31"/>
    <mergeCell ref="A32:B32"/>
    <mergeCell ref="C32:F32"/>
    <mergeCell ref="A24:F24"/>
    <mergeCell ref="B23:C23"/>
    <mergeCell ref="D23:F23"/>
    <mergeCell ref="A33:B33"/>
    <mergeCell ref="C33:F3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2</vt:i4>
      </vt:variant>
      <vt:variant>
        <vt:lpstr>Adlandırılmış Aralıklar</vt:lpstr>
      </vt:variant>
      <vt:variant>
        <vt:i4>1</vt:i4>
      </vt:variant>
    </vt:vector>
  </HeadingPairs>
  <TitlesOfParts>
    <vt:vector size="3" baseType="lpstr">
      <vt:lpstr>RİSK ANALİZİ DEĞERLENDİRME </vt:lpstr>
      <vt:lpstr>RİSK DEĞERLENDİRME METODOLOJİSİ</vt:lpstr>
      <vt:lpstr>'RİSK ANALİZİ DEĞERLENDİRME '!Yazdırma_Başlıkları</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Kullanıcısı</dc:creator>
  <cp:lastModifiedBy>Kurt,Meltem</cp:lastModifiedBy>
  <cp:lastPrinted>2018-08-28T13:38:38Z</cp:lastPrinted>
  <dcterms:created xsi:type="dcterms:W3CDTF">2016-03-24T10:25:22Z</dcterms:created>
  <dcterms:modified xsi:type="dcterms:W3CDTF">2024-03-15T08:17:28Z</dcterms:modified>
</cp:coreProperties>
</file>