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updateLinks="never"/>
  <bookViews>
    <workbookView xWindow="-120" yWindow="-120" windowWidth="20730" windowHeight="11160"/>
  </bookViews>
  <sheets>
    <sheet name="Aksiyon Planı_Risk Sıralamalı" sheetId="4" r:id="rId1"/>
    <sheet name="Sayfa1" sheetId="3" r:id="rId2"/>
  </sheets>
  <definedNames>
    <definedName name="_xlnm._FilterDatabase" localSheetId="0" hidden="1">'Aksiyon Planı_Risk Sıralamalı'!$A$7:$S$67</definedName>
    <definedName name="_xlnm.Print_Area" localSheetId="0">'Aksiyon Planı_Risk Sıralamalı'!$A$1:$S$62</definedName>
    <definedName name="_xlnm.Print_Titles" localSheetId="0">'Aksiyon Planı_Risk Sıralamalı'!$7:$7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2" i="4" l="1"/>
  <c r="S8" i="4" l="1"/>
  <c r="S9" i="4"/>
  <c r="S11" i="4"/>
  <c r="J67" i="4" l="1"/>
  <c r="N67" i="4" s="1"/>
  <c r="J66" i="4"/>
  <c r="K66" i="4" s="1"/>
  <c r="J65" i="4"/>
  <c r="N65" i="4" s="1"/>
  <c r="J64" i="4"/>
  <c r="K64" i="4" s="1"/>
  <c r="J63" i="4"/>
  <c r="N63" i="4" s="1"/>
  <c r="J58" i="4"/>
  <c r="K58" i="4" s="1"/>
  <c r="J34" i="4"/>
  <c r="N34" i="4" s="1"/>
  <c r="S34" i="4" s="1"/>
  <c r="J33" i="4"/>
  <c r="K33" i="4" s="1"/>
  <c r="J57" i="4"/>
  <c r="N57" i="4" s="1"/>
  <c r="S57" i="4" s="1"/>
  <c r="J16" i="4"/>
  <c r="N16" i="4" s="1"/>
  <c r="S16" i="4" s="1"/>
  <c r="J15" i="4"/>
  <c r="N15" i="4" s="1"/>
  <c r="S15" i="4" s="1"/>
  <c r="J32" i="4"/>
  <c r="K32" i="4" s="1"/>
  <c r="J14" i="4"/>
  <c r="K14" i="4" s="1"/>
  <c r="S56" i="4"/>
  <c r="J56" i="4"/>
  <c r="K56" i="4" s="1"/>
  <c r="J31" i="4"/>
  <c r="N31" i="4" s="1"/>
  <c r="S31" i="4" s="1"/>
  <c r="J13" i="4"/>
  <c r="N13" i="4" s="1"/>
  <c r="S13" i="4" s="1"/>
  <c r="J55" i="4"/>
  <c r="K55" i="4" s="1"/>
  <c r="J54" i="4"/>
  <c r="N54" i="4" s="1"/>
  <c r="S54" i="4" s="1"/>
  <c r="S53" i="4"/>
  <c r="J53" i="4"/>
  <c r="N53" i="4" s="1"/>
  <c r="J30" i="4"/>
  <c r="K30" i="4" s="1"/>
  <c r="J62" i="4"/>
  <c r="N62" i="4" s="1"/>
  <c r="S62" i="4" s="1"/>
  <c r="J52" i="4"/>
  <c r="K52" i="4" s="1"/>
  <c r="J12" i="4"/>
  <c r="N12" i="4" s="1"/>
  <c r="S12" i="4" s="1"/>
  <c r="J51" i="4"/>
  <c r="K51" i="4" s="1"/>
  <c r="J29" i="4"/>
  <c r="N29" i="4" s="1"/>
  <c r="S29" i="4" s="1"/>
  <c r="J28" i="4"/>
  <c r="K28" i="4" s="1"/>
  <c r="J50" i="4"/>
  <c r="N50" i="4" s="1"/>
  <c r="S50" i="4" s="1"/>
  <c r="J49" i="4"/>
  <c r="N49" i="4" s="1"/>
  <c r="S49" i="4" s="1"/>
  <c r="J61" i="4"/>
  <c r="N61" i="4" s="1"/>
  <c r="S61" i="4" s="1"/>
  <c r="J48" i="4"/>
  <c r="K48" i="4" s="1"/>
  <c r="J27" i="4"/>
  <c r="K27" i="4" s="1"/>
  <c r="J47" i="4"/>
  <c r="K47" i="4" s="1"/>
  <c r="J26" i="4"/>
  <c r="N26" i="4" s="1"/>
  <c r="S26" i="4" s="1"/>
  <c r="J46" i="4"/>
  <c r="K46" i="4" s="1"/>
  <c r="J45" i="4"/>
  <c r="N45" i="4" s="1"/>
  <c r="S45" i="4" s="1"/>
  <c r="J25" i="4"/>
  <c r="K25" i="4" s="1"/>
  <c r="J44" i="4"/>
  <c r="N44" i="4" s="1"/>
  <c r="S44" i="4" s="1"/>
  <c r="J24" i="4"/>
  <c r="K24" i="4" s="1"/>
  <c r="J43" i="4"/>
  <c r="K43" i="4" s="1"/>
  <c r="J42" i="4"/>
  <c r="N42" i="4" s="1"/>
  <c r="S42" i="4" s="1"/>
  <c r="J23" i="4"/>
  <c r="N23" i="4" s="1"/>
  <c r="S23" i="4" s="1"/>
  <c r="J11" i="4"/>
  <c r="N11" i="4" s="1"/>
  <c r="J41" i="4"/>
  <c r="K41" i="4" s="1"/>
  <c r="J10" i="4"/>
  <c r="N10" i="4" s="1"/>
  <c r="S10" i="4" s="1"/>
  <c r="J40" i="4"/>
  <c r="K40" i="4" s="1"/>
  <c r="J22" i="4"/>
  <c r="N22" i="4" s="1"/>
  <c r="S22" i="4" s="1"/>
  <c r="J9" i="4"/>
  <c r="K9" i="4" s="1"/>
  <c r="J8" i="4"/>
  <c r="K8" i="4" s="1"/>
  <c r="J21" i="4"/>
  <c r="K21" i="4" s="1"/>
  <c r="J20" i="4"/>
  <c r="N20" i="4" s="1"/>
  <c r="S20" i="4" s="1"/>
  <c r="J39" i="4"/>
  <c r="K39" i="4" s="1"/>
  <c r="J19" i="4"/>
  <c r="N19" i="4" s="1"/>
  <c r="S19" i="4" s="1"/>
  <c r="J60" i="4"/>
  <c r="N60" i="4" s="1"/>
  <c r="S60" i="4" s="1"/>
  <c r="J38" i="4"/>
  <c r="N38" i="4" s="1"/>
  <c r="S38" i="4" s="1"/>
  <c r="J37" i="4"/>
  <c r="K37" i="4" s="1"/>
  <c r="J18" i="4"/>
  <c r="K18" i="4" s="1"/>
  <c r="J59" i="4"/>
  <c r="K59" i="4" s="1"/>
  <c r="J17" i="4"/>
  <c r="N17" i="4" s="1"/>
  <c r="S17" i="4" s="1"/>
  <c r="J36" i="4"/>
  <c r="K36" i="4" s="1"/>
  <c r="J35" i="4"/>
  <c r="N35" i="4" s="1"/>
  <c r="S35" i="4" s="1"/>
  <c r="G3" i="4"/>
  <c r="K54" i="4" l="1"/>
  <c r="N24" i="4"/>
  <c r="S24" i="4" s="1"/>
  <c r="K45" i="4"/>
  <c r="N27" i="4"/>
  <c r="S27" i="4" s="1"/>
  <c r="N52" i="4"/>
  <c r="S52" i="4" s="1"/>
  <c r="K53" i="4"/>
  <c r="N56" i="4"/>
  <c r="N28" i="4"/>
  <c r="S28" i="4" s="1"/>
  <c r="K12" i="4"/>
  <c r="N18" i="4"/>
  <c r="S18" i="4" s="1"/>
  <c r="N33" i="4"/>
  <c r="S33" i="4" s="1"/>
  <c r="K63" i="4"/>
  <c r="K35" i="4"/>
  <c r="N9" i="4"/>
  <c r="K10" i="4"/>
  <c r="N14" i="4"/>
  <c r="S14" i="4" s="1"/>
  <c r="N64" i="4"/>
  <c r="K67" i="4"/>
  <c r="N37" i="4"/>
  <c r="S37" i="4" s="1"/>
  <c r="K19" i="4"/>
  <c r="N8" i="4"/>
  <c r="N43" i="4"/>
  <c r="S43" i="4" s="1"/>
  <c r="N48" i="4"/>
  <c r="S48" i="4" s="1"/>
  <c r="K50" i="4"/>
  <c r="N32" i="4"/>
  <c r="S32" i="4" s="1"/>
  <c r="K57" i="4"/>
  <c r="N39" i="4"/>
  <c r="S39" i="4" s="1"/>
  <c r="N36" i="4"/>
  <c r="S36" i="4" s="1"/>
  <c r="N41" i="4"/>
  <c r="S41" i="4" s="1"/>
  <c r="N46" i="4"/>
  <c r="S46" i="4" s="1"/>
  <c r="N55" i="4"/>
  <c r="S55" i="4" s="1"/>
  <c r="K60" i="4"/>
  <c r="K42" i="4"/>
  <c r="K49" i="4"/>
  <c r="K31" i="4"/>
  <c r="K16" i="4"/>
  <c r="K17" i="4"/>
  <c r="N59" i="4"/>
  <c r="S59" i="4" s="1"/>
  <c r="K20" i="4"/>
  <c r="N40" i="4"/>
  <c r="S40" i="4" s="1"/>
  <c r="K11" i="4"/>
  <c r="K23" i="4"/>
  <c r="K44" i="4"/>
  <c r="N47" i="4"/>
  <c r="S47" i="4" s="1"/>
  <c r="K61" i="4"/>
  <c r="K29" i="4"/>
  <c r="N51" i="4"/>
  <c r="S51" i="4" s="1"/>
  <c r="K62" i="4"/>
  <c r="N30" i="4"/>
  <c r="S30" i="4" s="1"/>
  <c r="K13" i="4"/>
  <c r="K15" i="4"/>
  <c r="K34" i="4"/>
  <c r="N58" i="4"/>
  <c r="S58" i="4" s="1"/>
  <c r="K38" i="4"/>
  <c r="N21" i="4"/>
  <c r="S21" i="4" s="1"/>
  <c r="K22" i="4"/>
  <c r="N25" i="4"/>
  <c r="S25" i="4" s="1"/>
  <c r="K26" i="4"/>
  <c r="K65" i="4"/>
  <c r="N66" i="4"/>
  <c r="P5" i="4" l="1"/>
  <c r="P3" i="4"/>
  <c r="P4" i="4"/>
  <c r="P2" i="4"/>
  <c r="P6" i="4" l="1"/>
  <c r="Q5" i="4" s="1"/>
  <c r="Q3" i="4" l="1"/>
  <c r="Q4" i="4"/>
  <c r="Q6" i="4"/>
  <c r="Q2" i="4"/>
</calcChain>
</file>

<file path=xl/sharedStrings.xml><?xml version="1.0" encoding="utf-8"?>
<sst xmlns="http://schemas.openxmlformats.org/spreadsheetml/2006/main" count="123" uniqueCount="98">
  <si>
    <t>Durum</t>
  </si>
  <si>
    <t>Hedef Tarih</t>
  </si>
  <si>
    <t>AKSİYONLAR</t>
  </si>
  <si>
    <t>Adet</t>
  </si>
  <si>
    <t>%</t>
  </si>
  <si>
    <t>Print tarihi:</t>
  </si>
  <si>
    <t>Hedef Tarihi Geçen</t>
  </si>
  <si>
    <t>Saat:</t>
  </si>
  <si>
    <t>Zaman Var</t>
  </si>
  <si>
    <t>Görüşülecek - Hedef tarih yok</t>
  </si>
  <si>
    <t>Tamamlanan</t>
  </si>
  <si>
    <t>TOTAL</t>
  </si>
  <si>
    <t>No</t>
  </si>
  <si>
    <t>Bina / Bölüm</t>
  </si>
  <si>
    <t>Lokasyon</t>
  </si>
  <si>
    <t>Mevcut durum ve açıklamalar</t>
  </si>
  <si>
    <t>Aksiyon</t>
  </si>
  <si>
    <t>Aksiyon Kapatma Sorumlusu</t>
  </si>
  <si>
    <t>Revize Hedef Tarih</t>
  </si>
  <si>
    <t>Gerçek Bitirme Tarihi</t>
  </si>
  <si>
    <t>Açıklama</t>
  </si>
  <si>
    <t>Denetim Tarihi</t>
  </si>
  <si>
    <t>RİSK DEĞERİ ( R ) = OLASILIK x FREKANS x ŞİDDET</t>
  </si>
  <si>
    <t>DEĞER</t>
  </si>
  <si>
    <t>RİSK DÜZEYİ</t>
  </si>
  <si>
    <t>Düzeltici Faaliyet</t>
  </si>
  <si>
    <t>TERMİN</t>
  </si>
  <si>
    <t>400 &lt; R</t>
  </si>
  <si>
    <t>TOLERE EDİLEMEZ RİSK</t>
  </si>
  <si>
    <t xml:space="preserve">Derhal gerekli önlemler alınmalıdır. </t>
  </si>
  <si>
    <t>1 Hafta İçinde</t>
  </si>
  <si>
    <t>200 &lt; R &lt; 400</t>
  </si>
  <si>
    <t>YÜKSEK RİSK</t>
  </si>
  <si>
    <t>Kısa dönemde iyileştirilmelidir.</t>
  </si>
  <si>
    <t>1 Ay İçinde</t>
  </si>
  <si>
    <t>70 &lt; R &lt; 200</t>
  </si>
  <si>
    <t>ÖNEMLİ RİSK</t>
  </si>
  <si>
    <t>Uzun dönemde iyileştirilmelidir.</t>
  </si>
  <si>
    <t>6 Ay İçinde</t>
  </si>
  <si>
    <t>20 &lt; R &lt; 70</t>
  </si>
  <si>
    <t>OLASI RİSK</t>
  </si>
  <si>
    <t xml:space="preserve">Gözetim altında tutulmalıdır. </t>
  </si>
  <si>
    <t>1 Yıl İçinde</t>
  </si>
  <si>
    <t>R &lt; 20</t>
  </si>
  <si>
    <t>DÜŞÜK RİSK</t>
  </si>
  <si>
    <t>Uzun vadeli planlama, iyileştirme</t>
  </si>
  <si>
    <t>Kontrol</t>
  </si>
  <si>
    <t>Kaynak</t>
  </si>
  <si>
    <t>İş Kazası</t>
  </si>
  <si>
    <t>Ramak Kala</t>
  </si>
  <si>
    <t>Risk Analizi</t>
  </si>
  <si>
    <t>Evrak Denetimi</t>
  </si>
  <si>
    <t>İSG Kurul</t>
  </si>
  <si>
    <t>İç Denetim</t>
  </si>
  <si>
    <t>Dış Denetim</t>
  </si>
  <si>
    <t xml:space="preserve">Acil Durum </t>
  </si>
  <si>
    <t>Feedback (mail, ticket vb.)</t>
  </si>
  <si>
    <t>Planlı Saha Denetimi</t>
  </si>
  <si>
    <t>Plansız Saha Denetimi</t>
  </si>
  <si>
    <t>Revizyon No</t>
  </si>
  <si>
    <t xml:space="preserve">RİSK DEĞERLENDİRME METODU
( İlgili açıklamalar "İSG Risk ve Fırsat Değerlendirme  (POTS-S210-0101)" Prosedüründe yer almaktadır. ) </t>
  </si>
  <si>
    <t>OLASILIK DEĞERİ</t>
  </si>
  <si>
    <r>
      <t xml:space="preserve">OLASILIK
</t>
    </r>
    <r>
      <rPr>
        <sz val="12"/>
        <rFont val="Calibri"/>
        <family val="2"/>
        <charset val="162"/>
        <scheme val="minor"/>
      </rPr>
      <t>(Zararın Gerçekleşme Olasılığı)</t>
    </r>
  </si>
  <si>
    <t>FREKANS DEĞERİ</t>
  </si>
  <si>
    <r>
      <t xml:space="preserve">FREKANS /SIKLIK
</t>
    </r>
    <r>
      <rPr>
        <sz val="12"/>
        <rFont val="Calibri"/>
        <family val="2"/>
        <charset val="162"/>
        <scheme val="minor"/>
      </rPr>
      <t>( Zaman İçerisinde Tehlikeye Maruz Kalma Tekrarı)</t>
    </r>
  </si>
  <si>
    <t>ŞİDDET DEĞERİ</t>
  </si>
  <si>
    <t>ŞİDDET
(İnsan ve/veya Çevre Üzerine Yaratacağı Tahmini Zarar)</t>
  </si>
  <si>
    <r>
      <rPr>
        <b/>
        <sz val="12"/>
        <rFont val="Calibri"/>
        <family val="2"/>
        <charset val="162"/>
        <scheme val="minor"/>
      </rPr>
      <t>Büyük olasılıkla</t>
    </r>
    <r>
      <rPr>
        <sz val="12"/>
        <rFont val="Calibri"/>
        <family val="2"/>
        <charset val="162"/>
        <scheme val="minor"/>
      </rPr>
      <t xml:space="preserve">
Kontrol Yok, Daha önce ölümcül kazalar yaşanmış.</t>
    </r>
  </si>
  <si>
    <r>
      <t xml:space="preserve">Hemen Hemen Sürekli
</t>
    </r>
    <r>
      <rPr>
        <b/>
        <sz val="12"/>
        <rFont val="Calibri"/>
        <family val="2"/>
        <charset val="162"/>
        <scheme val="minor"/>
      </rPr>
      <t>Saatte Birkaç Defa</t>
    </r>
  </si>
  <si>
    <t>Birden Fazla Ölümlü Kaza
Çevresel Felaket</t>
  </si>
  <si>
    <r>
      <rPr>
        <b/>
        <sz val="12"/>
        <rFont val="Calibri"/>
        <family val="2"/>
        <charset val="162"/>
        <scheme val="minor"/>
      </rPr>
      <t>Olması muhtemel</t>
    </r>
    <r>
      <rPr>
        <sz val="12"/>
        <rFont val="Calibri"/>
        <family val="2"/>
        <charset val="162"/>
        <scheme val="minor"/>
      </rPr>
      <t xml:space="preserve">
Kontrol mevcut değil, kkd, uyarı işaretleri ve eğitim sağlanmamış, sık sık kazalar atlatılmakta.</t>
    </r>
  </si>
  <si>
    <r>
      <t xml:space="preserve">Sık
</t>
    </r>
    <r>
      <rPr>
        <b/>
        <sz val="12"/>
        <rFont val="Calibri"/>
        <family val="2"/>
        <charset val="162"/>
        <scheme val="minor"/>
      </rPr>
      <t>Günde Bir veya Birkaç Defa</t>
    </r>
  </si>
  <si>
    <t>Ölümlü Kaza
Ciddi Çevresel Zarar</t>
  </si>
  <si>
    <r>
      <rPr>
        <b/>
        <sz val="12"/>
        <rFont val="Calibri"/>
        <family val="2"/>
        <charset val="162"/>
        <scheme val="minor"/>
      </rPr>
      <t>Olası</t>
    </r>
    <r>
      <rPr>
        <sz val="12"/>
        <rFont val="Calibri"/>
        <family val="2"/>
        <charset val="162"/>
        <scheme val="minor"/>
      </rPr>
      <t xml:space="preserve">
Orta derecede kontrol mevcut, ara sıra kazalar atlatılmakta.</t>
    </r>
  </si>
  <si>
    <r>
      <t xml:space="preserve">Ara Sıra
</t>
    </r>
    <r>
      <rPr>
        <b/>
        <sz val="12"/>
        <rFont val="Calibri"/>
        <family val="2"/>
        <charset val="162"/>
        <scheme val="minor"/>
      </rPr>
      <t>Haftada Bir veya Birkaç Defa</t>
    </r>
  </si>
  <si>
    <t xml:space="preserve">Kalıcı Hasar/Yaralanma
İş Kaybı </t>
  </si>
  <si>
    <r>
      <rPr>
        <b/>
        <sz val="12"/>
        <rFont val="Calibri"/>
        <family val="2"/>
        <charset val="162"/>
        <scheme val="minor"/>
      </rPr>
      <t>Mümkün Fakat Düşük</t>
    </r>
    <r>
      <rPr>
        <sz val="12"/>
        <rFont val="Calibri"/>
        <family val="2"/>
        <charset val="162"/>
        <scheme val="minor"/>
      </rPr>
      <t xml:space="preserve">
Muhtemel Olmayan, kontroller iyi.</t>
    </r>
  </si>
  <si>
    <r>
      <t xml:space="preserve">Sık Değil
</t>
    </r>
    <r>
      <rPr>
        <b/>
        <sz val="12"/>
        <rFont val="Calibri"/>
        <family val="2"/>
        <charset val="162"/>
        <scheme val="minor"/>
      </rPr>
      <t>Ayda Bir veya Birkaç Defa</t>
    </r>
  </si>
  <si>
    <t>Önemli Hasar / Yaralanma
Dış İlkyardım</t>
  </si>
  <si>
    <t>Beklenmez Fakat Mümkün</t>
  </si>
  <si>
    <r>
      <t xml:space="preserve">Seyrek
</t>
    </r>
    <r>
      <rPr>
        <b/>
        <sz val="12"/>
        <rFont val="Calibri"/>
        <family val="2"/>
        <charset val="162"/>
        <scheme val="minor"/>
      </rPr>
      <t>Yılda Birkaç Defa</t>
    </r>
  </si>
  <si>
    <t>Küçük Hasar / Yaralanma
 İç İlkyardım</t>
  </si>
  <si>
    <t>Beklenmez</t>
  </si>
  <si>
    <r>
      <t xml:space="preserve">Çok Seyrek
</t>
    </r>
    <r>
      <rPr>
        <b/>
        <sz val="12"/>
        <rFont val="Calibri"/>
        <family val="2"/>
        <charset val="162"/>
        <scheme val="minor"/>
      </rPr>
      <t>Yılda Bir veya Daha Az</t>
    </r>
  </si>
  <si>
    <t>Ucuz Atlatma
Çevresel Zarar Yok</t>
  </si>
  <si>
    <t>Olasılık</t>
  </si>
  <si>
    <t>Sıklık</t>
  </si>
  <si>
    <t>Zarar</t>
  </si>
  <si>
    <t>Risk Skoru</t>
  </si>
  <si>
    <t>Risk Düzeyi</t>
  </si>
  <si>
    <t>Termin</t>
  </si>
  <si>
    <t>400&lt;R</t>
  </si>
  <si>
    <t>Sürekli</t>
  </si>
  <si>
    <t>200&lt;R&lt;400</t>
  </si>
  <si>
    <t>70&lt;R&lt;200</t>
  </si>
  <si>
    <t>20&lt;R&lt;70</t>
  </si>
  <si>
    <t>R&lt;20</t>
  </si>
  <si>
    <t>Pandemi Denetimi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</si>
</sst>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0.0"/>
  </numFmts>
  <fonts count="21">
    <font>
      <sz val="10"/>
      <name val="Arial"/>
      <charset val="162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1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sz val="10"/>
      <name val="Arial Tur"/>
      <charset val="162"/>
    </font>
    <font>
      <b/>
      <sz val="11"/>
      <name val="Calibri"/>
      <family val="2"/>
      <charset val="162"/>
      <scheme val="minor"/>
    </font>
    <font>
      <sz val="9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12"/>
      <color rgb="FFFFFFFF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name val="Arial Tur"/>
      <charset val="162"/>
    </font>
    <font>
      <sz val="14"/>
      <name val="Arial Tur"/>
      <charset val="162"/>
    </font>
    <font>
      <sz val="12"/>
      <name val="Arial Tur"/>
      <charset val="162"/>
    </font>
  </fonts>
  <fills count="1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2" fillId="0" borderId="0"/>
    <xf numFmtId="0" fontId="2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9" fontId="10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3" fillId="0" borderId="0"/>
  </cellStyleXfs>
  <cellXfs count="141">
    <xf numFmtId="0" fontId="0" fillId="0" borderId="0" xfId="0"/>
    <xf numFmtId="0" fontId="0" fillId="0" borderId="1" xfId="0" applyBorder="1"/>
    <xf numFmtId="0" fontId="8" fillId="0" borderId="0" xfId="3" applyFont="1" applyFill="1" applyBorder="1" applyAlignment="1">
      <alignment vertical="center"/>
    </xf>
    <xf numFmtId="1" fontId="4" fillId="0" borderId="0" xfId="3" applyNumberFormat="1" applyFont="1" applyFill="1" applyBorder="1" applyAlignment="1">
      <alignment horizontal="center" vertical="center"/>
    </xf>
    <xf numFmtId="0" fontId="9" fillId="0" borderId="0" xfId="3" applyFont="1" applyFill="1" applyBorder="1" applyAlignment="1">
      <alignment vertical="center"/>
    </xf>
    <xf numFmtId="15" fontId="9" fillId="0" borderId="0" xfId="4" applyNumberFormat="1" applyFont="1" applyFill="1" applyBorder="1" applyAlignment="1" applyProtection="1">
      <alignment horizontal="center" vertical="center" wrapText="1"/>
    </xf>
    <xf numFmtId="1" fontId="8" fillId="0" borderId="0" xfId="3" applyNumberFormat="1" applyFont="1" applyFill="1" applyBorder="1" applyAlignment="1">
      <alignment horizontal="center" vertical="center"/>
    </xf>
    <xf numFmtId="0" fontId="7" fillId="0" borderId="1" xfId="3" applyFont="1" applyFill="1" applyBorder="1" applyAlignment="1">
      <alignment horizontal="left" vertical="center" wrapText="1"/>
    </xf>
    <xf numFmtId="15" fontId="7" fillId="0" borderId="1" xfId="3" applyNumberFormat="1" applyFont="1" applyFill="1" applyBorder="1" applyAlignment="1">
      <alignment horizontal="center" vertical="center" wrapText="1"/>
    </xf>
    <xf numFmtId="2" fontId="8" fillId="0" borderId="0" xfId="3" applyNumberFormat="1" applyFont="1" applyFill="1" applyBorder="1" applyAlignment="1">
      <alignment vertical="center"/>
    </xf>
    <xf numFmtId="0" fontId="8" fillId="0" borderId="0" xfId="3" applyFont="1" applyFill="1" applyBorder="1" applyAlignment="1">
      <alignment vertical="center" wrapText="1"/>
    </xf>
    <xf numFmtId="0" fontId="8" fillId="0" borderId="0" xfId="5" applyNumberFormat="1" applyFont="1" applyFill="1" applyBorder="1" applyAlignment="1">
      <alignment horizontal="center" vertical="center" wrapText="1"/>
    </xf>
    <xf numFmtId="0" fontId="8" fillId="0" borderId="0" xfId="5" applyFont="1" applyFill="1" applyBorder="1" applyAlignment="1">
      <alignment vertical="center" wrapText="1"/>
    </xf>
    <xf numFmtId="0" fontId="8" fillId="0" borderId="0" xfId="5" applyFont="1" applyFill="1" applyBorder="1" applyAlignment="1">
      <alignment vertical="center"/>
    </xf>
    <xf numFmtId="0" fontId="8" fillId="0" borderId="0" xfId="5" applyFont="1" applyBorder="1" applyAlignment="1">
      <alignment vertical="center"/>
    </xf>
    <xf numFmtId="15" fontId="8" fillId="0" borderId="0" xfId="3" applyNumberFormat="1" applyFont="1" applyFill="1" applyBorder="1" applyAlignment="1">
      <alignment vertical="center"/>
    </xf>
    <xf numFmtId="0" fontId="9" fillId="0" borderId="0" xfId="3" applyFont="1" applyFill="1" applyBorder="1" applyAlignment="1">
      <alignment horizontal="center" vertical="center" wrapText="1"/>
    </xf>
    <xf numFmtId="1" fontId="7" fillId="0" borderId="0" xfId="3" applyNumberFormat="1" applyFont="1" applyFill="1" applyBorder="1" applyAlignment="1">
      <alignment horizontal="right" vertical="center" wrapText="1"/>
    </xf>
    <xf numFmtId="164" fontId="7" fillId="0" borderId="0" xfId="4" applyNumberFormat="1" applyFont="1" applyFill="1" applyBorder="1" applyAlignment="1" applyProtection="1">
      <alignment horizontal="center" vertical="center" wrapText="1"/>
    </xf>
    <xf numFmtId="1" fontId="7" fillId="0" borderId="0" xfId="4" applyNumberFormat="1" applyFont="1" applyFill="1" applyBorder="1" applyAlignment="1">
      <alignment horizontal="left" vertical="center" wrapText="1"/>
    </xf>
    <xf numFmtId="2" fontId="8" fillId="0" borderId="0" xfId="3" applyNumberFormat="1" applyFont="1" applyFill="1" applyBorder="1" applyAlignment="1">
      <alignment vertical="center" wrapText="1"/>
    </xf>
    <xf numFmtId="0" fontId="8" fillId="0" borderId="0" xfId="4" applyFont="1" applyBorder="1" applyAlignment="1">
      <alignment horizontal="left" vertical="center" wrapText="1"/>
    </xf>
    <xf numFmtId="1" fontId="4" fillId="0" borderId="0" xfId="3" applyNumberFormat="1" applyFont="1" applyFill="1" applyBorder="1" applyAlignment="1">
      <alignment horizontal="center" vertical="center" wrapText="1"/>
    </xf>
    <xf numFmtId="1" fontId="9" fillId="0" borderId="0" xfId="6" applyNumberFormat="1" applyFont="1" applyFill="1" applyBorder="1" applyAlignment="1">
      <alignment horizontal="center" vertical="center" wrapText="1"/>
    </xf>
    <xf numFmtId="20" fontId="7" fillId="0" borderId="0" xfId="4" applyNumberFormat="1" applyFont="1" applyFill="1" applyBorder="1" applyAlignment="1" applyProtection="1">
      <alignment horizontal="center" vertical="center"/>
    </xf>
    <xf numFmtId="0" fontId="8" fillId="0" borderId="0" xfId="4" applyFont="1" applyBorder="1" applyAlignment="1">
      <alignment horizontal="left" vertical="center"/>
    </xf>
    <xf numFmtId="0" fontId="9" fillId="0" borderId="0" xfId="3" quotePrefix="1" applyFont="1" applyFill="1" applyBorder="1" applyAlignment="1">
      <alignment horizontal="left" vertical="center"/>
    </xf>
    <xf numFmtId="164" fontId="7" fillId="0" borderId="0" xfId="3" applyNumberFormat="1" applyFont="1" applyFill="1" applyBorder="1" applyAlignment="1">
      <alignment horizontal="left" vertical="center"/>
    </xf>
    <xf numFmtId="0" fontId="7" fillId="0" borderId="0" xfId="3" applyFont="1" applyFill="1" applyBorder="1" applyAlignment="1">
      <alignment horizontal="center" vertical="center" wrapText="1"/>
    </xf>
    <xf numFmtId="2" fontId="7" fillId="0" borderId="0" xfId="3" applyNumberFormat="1" applyFont="1" applyFill="1" applyBorder="1" applyAlignment="1">
      <alignment vertical="center" wrapText="1"/>
    </xf>
    <xf numFmtId="15" fontId="7" fillId="0" borderId="0" xfId="3" applyNumberFormat="1" applyFont="1" applyFill="1" applyBorder="1" applyAlignment="1">
      <alignment horizontal="center" vertical="center" wrapText="1"/>
    </xf>
    <xf numFmtId="9" fontId="7" fillId="0" borderId="0" xfId="7" applyFont="1" applyBorder="1" applyAlignment="1" applyProtection="1">
      <alignment horizontal="center" vertical="center"/>
    </xf>
    <xf numFmtId="1" fontId="7" fillId="0" borderId="0" xfId="3" applyNumberFormat="1" applyFont="1" applyFill="1" applyBorder="1" applyAlignment="1">
      <alignment horizontal="left" vertical="center"/>
    </xf>
    <xf numFmtId="15" fontId="8" fillId="0" borderId="0" xfId="3" applyNumberFormat="1" applyFont="1" applyFill="1" applyBorder="1" applyAlignment="1">
      <alignment vertical="center" wrapText="1"/>
    </xf>
    <xf numFmtId="1" fontId="7" fillId="0" borderId="0" xfId="6" applyNumberFormat="1" applyFont="1" applyFill="1" applyBorder="1" applyAlignment="1">
      <alignment horizontal="center" vertical="center" wrapText="1"/>
    </xf>
    <xf numFmtId="9" fontId="4" fillId="0" borderId="0" xfId="7" applyFont="1" applyBorder="1" applyAlignment="1" applyProtection="1">
      <alignment horizontal="center" vertical="center"/>
    </xf>
    <xf numFmtId="0" fontId="8" fillId="0" borderId="0" xfId="3" quotePrefix="1" applyFont="1" applyFill="1" applyBorder="1" applyAlignment="1">
      <alignment horizontal="left" vertical="center"/>
    </xf>
    <xf numFmtId="1" fontId="7" fillId="0" borderId="0" xfId="7" applyNumberFormat="1" applyFont="1" applyFill="1" applyBorder="1" applyAlignment="1" applyProtection="1">
      <alignment horizontal="left" vertical="center" wrapText="1"/>
    </xf>
    <xf numFmtId="164" fontId="6" fillId="7" borderId="1" xfId="9" applyNumberFormat="1" applyFont="1" applyFill="1" applyBorder="1" applyAlignment="1">
      <alignment vertical="center" wrapText="1"/>
    </xf>
    <xf numFmtId="164" fontId="6" fillId="7" borderId="1" xfId="9" applyNumberFormat="1" applyFont="1" applyFill="1" applyBorder="1" applyAlignment="1">
      <alignment horizontal="center" vertical="center" textRotation="90" wrapText="1"/>
    </xf>
    <xf numFmtId="0" fontId="6" fillId="7" borderId="1" xfId="10" applyFont="1" applyFill="1" applyBorder="1" applyAlignment="1">
      <alignment vertical="center" wrapText="1"/>
    </xf>
    <xf numFmtId="49" fontId="11" fillId="7" borderId="1" xfId="8" quotePrefix="1" applyNumberFormat="1" applyFont="1" applyFill="1" applyBorder="1" applyAlignment="1">
      <alignment horizontal="center" vertical="center" wrapText="1"/>
    </xf>
    <xf numFmtId="0" fontId="11" fillId="7" borderId="1" xfId="3" applyFont="1" applyFill="1" applyBorder="1" applyAlignment="1">
      <alignment horizontal="center" vertical="center" wrapText="1"/>
    </xf>
    <xf numFmtId="164" fontId="11" fillId="7" borderId="1" xfId="3" applyNumberFormat="1" applyFont="1" applyFill="1" applyBorder="1" applyAlignment="1">
      <alignment horizontal="center" vertical="center" wrapText="1"/>
    </xf>
    <xf numFmtId="1" fontId="11" fillId="7" borderId="1" xfId="8" applyNumberFormat="1" applyFont="1" applyFill="1" applyBorder="1" applyAlignment="1">
      <alignment horizontal="center" textRotation="90" wrapText="1"/>
    </xf>
    <xf numFmtId="0" fontId="11" fillId="7" borderId="1" xfId="3" quotePrefix="1" applyFont="1" applyFill="1" applyBorder="1" applyAlignment="1">
      <alignment horizontal="center" vertical="center" wrapText="1"/>
    </xf>
    <xf numFmtId="49" fontId="7" fillId="0" borderId="0" xfId="8" applyNumberFormat="1" applyFont="1" applyFill="1" applyBorder="1" applyAlignment="1">
      <alignment horizontal="center" vertical="center" wrapText="1"/>
    </xf>
    <xf numFmtId="0" fontId="12" fillId="0" borderId="1" xfId="4" applyFont="1" applyBorder="1" applyAlignment="1">
      <alignment horizontal="left" vertical="center" wrapText="1"/>
    </xf>
    <xf numFmtId="49" fontId="8" fillId="0" borderId="0" xfId="8" applyNumberFormat="1" applyFont="1" applyFill="1" applyBorder="1" applyAlignment="1">
      <alignment vertical="center" wrapText="1"/>
    </xf>
    <xf numFmtId="0" fontId="8" fillId="0" borderId="0" xfId="8" applyNumberFormat="1" applyFont="1" applyFill="1" applyBorder="1" applyAlignment="1">
      <alignment vertical="center" wrapText="1"/>
    </xf>
    <xf numFmtId="2" fontId="8" fillId="0" borderId="0" xfId="3" applyNumberFormat="1" applyFont="1" applyBorder="1" applyAlignment="1">
      <alignment vertical="center" wrapText="1"/>
    </xf>
    <xf numFmtId="1" fontId="5" fillId="0" borderId="0" xfId="8" applyNumberFormat="1" applyFont="1" applyFill="1" applyBorder="1" applyAlignment="1">
      <alignment horizontal="center" vertical="center" wrapText="1"/>
    </xf>
    <xf numFmtId="0" fontId="7" fillId="0" borderId="0" xfId="4" applyFont="1" applyBorder="1" applyAlignment="1">
      <alignment horizontal="center"/>
    </xf>
    <xf numFmtId="0" fontId="9" fillId="0" borderId="0" xfId="8" applyNumberFormat="1" applyFont="1" applyFill="1" applyBorder="1" applyAlignment="1">
      <alignment vertical="center" wrapText="1"/>
    </xf>
    <xf numFmtId="49" fontId="9" fillId="0" borderId="0" xfId="8" applyNumberFormat="1" applyFont="1" applyFill="1" applyBorder="1" applyAlignment="1">
      <alignment horizontal="left" vertical="center" wrapText="1"/>
    </xf>
    <xf numFmtId="0" fontId="9" fillId="0" borderId="0" xfId="4" applyFont="1" applyBorder="1" applyAlignment="1">
      <alignment horizontal="center" vertical="center" wrapText="1"/>
    </xf>
    <xf numFmtId="49" fontId="8" fillId="0" borderId="0" xfId="8" applyNumberFormat="1" applyFont="1" applyFill="1" applyBorder="1" applyAlignment="1">
      <alignment horizontal="left" vertical="center" wrapText="1"/>
    </xf>
    <xf numFmtId="49" fontId="8" fillId="0" borderId="0" xfId="8" applyNumberFormat="1" applyFont="1" applyFill="1" applyBorder="1" applyAlignment="1">
      <alignment horizontal="center" vertical="center" wrapText="1"/>
    </xf>
    <xf numFmtId="164" fontId="7" fillId="0" borderId="0" xfId="8" applyNumberFormat="1" applyFont="1" applyFill="1" applyBorder="1" applyAlignment="1">
      <alignment horizontal="center" vertical="center" wrapText="1"/>
    </xf>
    <xf numFmtId="1" fontId="12" fillId="0" borderId="1" xfId="11" applyNumberFormat="1" applyFont="1" applyFill="1" applyBorder="1" applyAlignment="1">
      <alignment horizontal="center" vertical="center" wrapText="1"/>
    </xf>
    <xf numFmtId="1" fontId="13" fillId="0" borderId="1" xfId="8" applyNumberFormat="1" applyFont="1" applyFill="1" applyBorder="1" applyAlignment="1">
      <alignment horizontal="center" vertical="center" wrapText="1"/>
    </xf>
    <xf numFmtId="49" fontId="12" fillId="0" borderId="1" xfId="8" quotePrefix="1" applyNumberFormat="1" applyFont="1" applyFill="1" applyBorder="1" applyAlignment="1">
      <alignment horizontal="center" vertical="center" wrapText="1"/>
    </xf>
    <xf numFmtId="164" fontId="12" fillId="0" borderId="1" xfId="8" applyNumberFormat="1" applyFont="1" applyFill="1" applyBorder="1" applyAlignment="1">
      <alignment horizontal="left" vertical="center" wrapText="1"/>
    </xf>
    <xf numFmtId="49" fontId="12" fillId="0" borderId="1" xfId="8" applyNumberFormat="1" applyFont="1" applyFill="1" applyBorder="1" applyAlignment="1">
      <alignment horizontal="left" vertical="center" textRotation="90" wrapText="1"/>
    </xf>
    <xf numFmtId="2" fontId="12" fillId="0" borderId="1" xfId="0" applyNumberFormat="1" applyFont="1" applyFill="1" applyBorder="1" applyAlignment="1">
      <alignment vertical="center" wrapText="1"/>
    </xf>
    <xf numFmtId="164" fontId="12" fillId="0" borderId="1" xfId="4" applyNumberFormat="1" applyFont="1" applyBorder="1" applyAlignment="1">
      <alignment horizontal="center" vertical="center" wrapText="1"/>
    </xf>
    <xf numFmtId="164" fontId="12" fillId="0" borderId="1" xfId="4" applyNumberFormat="1" applyFont="1" applyBorder="1" applyAlignment="1">
      <alignment vertical="center" wrapText="1"/>
    </xf>
    <xf numFmtId="1" fontId="13" fillId="9" borderId="1" xfId="8" applyNumberFormat="1" applyFont="1" applyFill="1" applyBorder="1" applyAlignment="1">
      <alignment horizontal="center" vertical="center" textRotation="90" wrapText="1"/>
    </xf>
    <xf numFmtId="49" fontId="12" fillId="0" borderId="0" xfId="8" applyNumberFormat="1" applyFont="1" applyFill="1" applyBorder="1" applyAlignment="1">
      <alignment vertical="center" wrapText="1"/>
    </xf>
    <xf numFmtId="0" fontId="12" fillId="0" borderId="0" xfId="8" applyNumberFormat="1" applyFont="1" applyFill="1" applyBorder="1" applyAlignment="1">
      <alignment vertical="center" wrapText="1"/>
    </xf>
    <xf numFmtId="2" fontId="12" fillId="0" borderId="1" xfId="3" applyNumberFormat="1" applyFont="1" applyBorder="1" applyAlignment="1">
      <alignment vertical="center" wrapText="1"/>
    </xf>
    <xf numFmtId="49" fontId="12" fillId="0" borderId="1" xfId="8" applyNumberFormat="1" applyFont="1" applyFill="1" applyBorder="1" applyAlignment="1">
      <alignment horizontal="left" vertical="center" wrapText="1"/>
    </xf>
    <xf numFmtId="2" fontId="12" fillId="0" borderId="0" xfId="3" applyNumberFormat="1" applyFont="1" applyBorder="1" applyAlignment="1">
      <alignment vertical="center" wrapText="1"/>
    </xf>
    <xf numFmtId="0" fontId="12" fillId="8" borderId="1" xfId="4" applyFont="1" applyFill="1" applyBorder="1" applyAlignment="1">
      <alignment horizontal="center" vertical="center" wrapText="1"/>
    </xf>
    <xf numFmtId="1" fontId="14" fillId="0" borderId="0" xfId="3" applyNumberFormat="1" applyFont="1" applyFill="1" applyBorder="1" applyAlignment="1">
      <alignment horizontal="right" vertical="center" wrapText="1"/>
    </xf>
    <xf numFmtId="1" fontId="11" fillId="0" borderId="0" xfId="8" applyNumberFormat="1" applyFont="1" applyFill="1" applyBorder="1" applyAlignment="1">
      <alignment horizontal="center" vertical="center" textRotation="90" wrapText="1"/>
    </xf>
    <xf numFmtId="0" fontId="12" fillId="0" borderId="4" xfId="4" applyFont="1" applyBorder="1" applyAlignment="1">
      <alignment vertical="center" wrapText="1"/>
    </xf>
    <xf numFmtId="1" fontId="11" fillId="7" borderId="1" xfId="8" applyNumberFormat="1" applyFont="1" applyFill="1" applyBorder="1" applyAlignment="1">
      <alignment horizontal="center" vertical="center" wrapText="1"/>
    </xf>
    <xf numFmtId="0" fontId="11" fillId="7" borderId="1" xfId="8" applyNumberFormat="1" applyFont="1" applyFill="1" applyBorder="1" applyAlignment="1">
      <alignment horizontal="center" vertical="center" wrapText="1"/>
    </xf>
    <xf numFmtId="49" fontId="11" fillId="7" borderId="1" xfId="8" quotePrefix="1" applyNumberFormat="1" applyFont="1" applyFill="1" applyBorder="1" applyAlignment="1">
      <alignment horizontal="left" vertical="center" wrapText="1"/>
    </xf>
    <xf numFmtId="49" fontId="11" fillId="0" borderId="0" xfId="8" applyNumberFormat="1" applyFont="1" applyFill="1" applyBorder="1" applyAlignment="1">
      <alignment horizontal="center" vertical="center" wrapText="1"/>
    </xf>
    <xf numFmtId="0" fontId="11" fillId="0" borderId="0" xfId="8" applyNumberFormat="1" applyFont="1" applyFill="1" applyBorder="1" applyAlignment="1">
      <alignment horizontal="center" vertical="center" wrapText="1"/>
    </xf>
    <xf numFmtId="49" fontId="9" fillId="0" borderId="1" xfId="8" quotePrefix="1" applyNumberFormat="1" applyFont="1" applyFill="1" applyBorder="1" applyAlignment="1">
      <alignment horizontal="center" vertical="center" wrapText="1"/>
    </xf>
    <xf numFmtId="49" fontId="9" fillId="0" borderId="1" xfId="8" quotePrefix="1" applyNumberFormat="1" applyFont="1" applyFill="1" applyBorder="1" applyAlignment="1">
      <alignment horizontal="left" vertical="center" wrapText="1"/>
    </xf>
    <xf numFmtId="49" fontId="7" fillId="0" borderId="1" xfId="8" quotePrefix="1" applyNumberFormat="1" applyFont="1" applyFill="1" applyBorder="1" applyAlignment="1">
      <alignment horizontal="center" vertical="center" wrapText="1"/>
    </xf>
    <xf numFmtId="164" fontId="11" fillId="7" borderId="1" xfId="3" applyNumberFormat="1" applyFont="1" applyFill="1" applyBorder="1" applyAlignment="1">
      <alignment horizontal="center" vertical="center" textRotation="90" wrapText="1"/>
    </xf>
    <xf numFmtId="0" fontId="10" fillId="0" borderId="0" xfId="4"/>
    <xf numFmtId="0" fontId="7" fillId="15" borderId="1" xfId="4" applyFont="1" applyFill="1" applyBorder="1" applyAlignment="1">
      <alignment horizontal="center" vertical="center" wrapText="1"/>
    </xf>
    <xf numFmtId="0" fontId="7" fillId="15" borderId="1" xfId="4" applyFont="1" applyFill="1" applyBorder="1" applyAlignment="1">
      <alignment horizontal="left" vertical="center" wrapText="1"/>
    </xf>
    <xf numFmtId="0" fontId="18" fillId="0" borderId="0" xfId="4" applyFont="1"/>
    <xf numFmtId="0" fontId="15" fillId="0" borderId="1" xfId="4" applyFont="1" applyBorder="1" applyAlignment="1">
      <alignment horizontal="center" vertical="center" wrapText="1"/>
    </xf>
    <xf numFmtId="0" fontId="8" fillId="0" borderId="1" xfId="4" applyFont="1" applyBorder="1" applyAlignment="1">
      <alignment horizontal="left" vertical="center" wrapText="1"/>
    </xf>
    <xf numFmtId="0" fontId="7" fillId="0" borderId="1" xfId="4" applyFont="1" applyBorder="1" applyAlignment="1">
      <alignment horizontal="left" vertical="center" wrapText="1"/>
    </xf>
    <xf numFmtId="0" fontId="15" fillId="11" borderId="1" xfId="4" applyFont="1" applyFill="1" applyBorder="1" applyAlignment="1">
      <alignment horizontal="center" vertical="center" wrapText="1"/>
    </xf>
    <xf numFmtId="0" fontId="15" fillId="11" borderId="1" xfId="4" applyFont="1" applyFill="1" applyBorder="1" applyAlignment="1">
      <alignment horizontal="left" vertical="center" wrapText="1"/>
    </xf>
    <xf numFmtId="0" fontId="19" fillId="0" borderId="0" xfId="4" applyFont="1"/>
    <xf numFmtId="0" fontId="16" fillId="3" borderId="1" xfId="4" applyFont="1" applyFill="1" applyBorder="1" applyAlignment="1">
      <alignment horizontal="center" vertical="center" wrapText="1"/>
    </xf>
    <xf numFmtId="0" fontId="15" fillId="0" borderId="1" xfId="4" applyFont="1" applyBorder="1" applyAlignment="1">
      <alignment horizontal="left" vertical="center" wrapText="1"/>
    </xf>
    <xf numFmtId="0" fontId="20" fillId="0" borderId="0" xfId="4" applyFont="1"/>
    <xf numFmtId="0" fontId="7" fillId="12" borderId="1" xfId="4" applyFont="1" applyFill="1" applyBorder="1" applyAlignment="1">
      <alignment horizontal="center" vertical="center" wrapText="1"/>
    </xf>
    <xf numFmtId="0" fontId="7" fillId="13" borderId="1" xfId="4" applyFont="1" applyFill="1" applyBorder="1" applyAlignment="1">
      <alignment horizontal="center" vertical="center" wrapText="1"/>
    </xf>
    <xf numFmtId="0" fontId="16" fillId="14" borderId="1" xfId="4" applyFont="1" applyFill="1" applyBorder="1" applyAlignment="1">
      <alignment horizontal="center" vertical="center" wrapText="1"/>
    </xf>
    <xf numFmtId="0" fontId="16" fillId="10" borderId="1" xfId="4" applyFont="1" applyFill="1" applyBorder="1" applyAlignment="1">
      <alignment horizontal="center" vertical="center" wrapText="1"/>
    </xf>
    <xf numFmtId="49" fontId="11" fillId="7" borderId="1" xfId="8" quotePrefix="1" applyNumberFormat="1" applyFont="1" applyFill="1" applyBorder="1" applyAlignment="1">
      <alignment horizontal="center" vertical="center" textRotation="90" wrapText="1"/>
    </xf>
    <xf numFmtId="20" fontId="14" fillId="0" borderId="0" xfId="4" applyNumberFormat="1" applyFont="1" applyFill="1" applyBorder="1" applyAlignment="1" applyProtection="1">
      <alignment horizontal="left" vertical="center"/>
    </xf>
    <xf numFmtId="49" fontId="9" fillId="0" borderId="0" xfId="8" quotePrefix="1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0" fillId="0" borderId="0" xfId="0" applyBorder="1"/>
    <xf numFmtId="165" fontId="12" fillId="0" borderId="1" xfId="0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1" xfId="4" applyFont="1" applyBorder="1" applyAlignment="1">
      <alignment vertical="center" wrapText="1"/>
    </xf>
    <xf numFmtId="0" fontId="7" fillId="2" borderId="1" xfId="4" quotePrefix="1" applyFont="1" applyFill="1" applyBorder="1" applyAlignment="1">
      <alignment vertical="center" wrapText="1"/>
    </xf>
    <xf numFmtId="0" fontId="7" fillId="4" borderId="1" xfId="4" quotePrefix="1" applyFont="1" applyFill="1" applyBorder="1" applyAlignment="1">
      <alignment vertical="center" wrapText="1"/>
    </xf>
    <xf numFmtId="0" fontId="7" fillId="5" borderId="1" xfId="4" quotePrefix="1" applyFont="1" applyFill="1" applyBorder="1" applyAlignment="1">
      <alignment vertical="center" wrapText="1"/>
    </xf>
    <xf numFmtId="0" fontId="7" fillId="6" borderId="1" xfId="4" quotePrefix="1" applyFont="1" applyFill="1" applyBorder="1" applyAlignment="1">
      <alignment vertical="center" wrapText="1"/>
    </xf>
    <xf numFmtId="1" fontId="7" fillId="0" borderId="1" xfId="7" applyNumberFormat="1" applyFont="1" applyBorder="1" applyAlignment="1" applyProtection="1">
      <alignment horizontal="right" vertical="center" wrapText="1"/>
    </xf>
    <xf numFmtId="1" fontId="7" fillId="0" borderId="0" xfId="7" applyNumberFormat="1" applyFont="1" applyBorder="1" applyAlignment="1" applyProtection="1">
      <alignment horizontal="center" vertical="center" wrapText="1"/>
    </xf>
    <xf numFmtId="1" fontId="7" fillId="4" borderId="1" xfId="4" quotePrefix="1" applyNumberFormat="1" applyFont="1" applyFill="1" applyBorder="1" applyAlignment="1">
      <alignment vertical="center" wrapText="1"/>
    </xf>
    <xf numFmtId="1" fontId="7" fillId="6" borderId="1" xfId="4" quotePrefix="1" applyNumberFormat="1" applyFont="1" applyFill="1" applyBorder="1" applyAlignment="1">
      <alignment vertical="center" wrapText="1"/>
    </xf>
    <xf numFmtId="1" fontId="7" fillId="5" borderId="1" xfId="4" quotePrefix="1" applyNumberFormat="1" applyFont="1" applyFill="1" applyBorder="1" applyAlignment="1">
      <alignment vertical="center" wrapText="1"/>
    </xf>
    <xf numFmtId="0" fontId="12" fillId="0" borderId="1" xfId="4" applyFont="1" applyBorder="1" applyAlignment="1">
      <alignment vertical="center" wrapText="1"/>
    </xf>
    <xf numFmtId="49" fontId="12" fillId="0" borderId="3" xfId="8" applyNumberFormat="1" applyFont="1" applyFill="1" applyBorder="1" applyAlignment="1">
      <alignment horizontal="left" vertical="center" wrapText="1"/>
    </xf>
    <xf numFmtId="2" fontId="5" fillId="0" borderId="0" xfId="8" applyNumberFormat="1" applyFont="1" applyFill="1" applyBorder="1" applyAlignment="1">
      <alignment horizontal="center" vertical="center" wrapText="1"/>
    </xf>
    <xf numFmtId="164" fontId="12" fillId="0" borderId="1" xfId="4" applyNumberFormat="1" applyFont="1" applyFill="1" applyBorder="1" applyAlignment="1">
      <alignment vertical="center" wrapText="1"/>
    </xf>
    <xf numFmtId="164" fontId="7" fillId="0" borderId="0" xfId="4" applyNumberFormat="1" applyFont="1" applyFill="1" applyBorder="1" applyAlignment="1" applyProtection="1">
      <alignment horizontal="left" vertical="center" wrapText="1"/>
    </xf>
    <xf numFmtId="1" fontId="7" fillId="2" borderId="1" xfId="4" quotePrefix="1" applyNumberFormat="1" applyFont="1" applyFill="1" applyBorder="1" applyAlignment="1">
      <alignment horizontal="center" vertical="center" wrapText="1"/>
    </xf>
    <xf numFmtId="9" fontId="7" fillId="0" borderId="1" xfId="7" applyFont="1" applyBorder="1" applyAlignment="1" applyProtection="1">
      <alignment horizontal="center" vertical="center" wrapText="1"/>
    </xf>
    <xf numFmtId="0" fontId="7" fillId="0" borderId="1" xfId="3" applyFont="1" applyFill="1" applyBorder="1" applyAlignment="1">
      <alignment horizontal="center" vertical="center" wrapText="1"/>
    </xf>
    <xf numFmtId="0" fontId="7" fillId="2" borderId="1" xfId="4" quotePrefix="1" applyFont="1" applyFill="1" applyBorder="1" applyAlignment="1">
      <alignment horizontal="center" vertical="center" wrapText="1"/>
    </xf>
    <xf numFmtId="0" fontId="7" fillId="4" borderId="1" xfId="4" quotePrefix="1" applyFont="1" applyFill="1" applyBorder="1" applyAlignment="1">
      <alignment horizontal="center" vertical="center" wrapText="1"/>
    </xf>
    <xf numFmtId="0" fontId="7" fillId="5" borderId="1" xfId="4" quotePrefix="1" applyFont="1" applyFill="1" applyBorder="1" applyAlignment="1">
      <alignment horizontal="center" vertical="center" wrapText="1"/>
    </xf>
    <xf numFmtId="0" fontId="7" fillId="6" borderId="1" xfId="4" quotePrefix="1" applyFont="1" applyFill="1" applyBorder="1" applyAlignment="1">
      <alignment horizontal="center" vertical="center" wrapText="1"/>
    </xf>
    <xf numFmtId="0" fontId="8" fillId="0" borderId="4" xfId="4" applyFont="1" applyBorder="1" applyAlignment="1">
      <alignment horizontal="left" vertical="center" wrapText="1"/>
    </xf>
    <xf numFmtId="0" fontId="8" fillId="0" borderId="3" xfId="4" applyFont="1" applyBorder="1" applyAlignment="1">
      <alignment horizontal="left" vertical="center" wrapText="1"/>
    </xf>
    <xf numFmtId="0" fontId="17" fillId="15" borderId="1" xfId="4" applyFont="1" applyFill="1" applyBorder="1" applyAlignment="1">
      <alignment horizontal="center" vertical="center" wrapText="1"/>
    </xf>
    <xf numFmtId="0" fontId="17" fillId="15" borderId="1" xfId="4" applyFont="1" applyFill="1" applyBorder="1" applyAlignment="1">
      <alignment horizontal="center" vertical="center"/>
    </xf>
    <xf numFmtId="0" fontId="15" fillId="11" borderId="5" xfId="4" applyFont="1" applyFill="1" applyBorder="1" applyAlignment="1">
      <alignment horizontal="center" vertical="center" wrapText="1"/>
    </xf>
    <xf numFmtId="0" fontId="15" fillId="11" borderId="2" xfId="4" applyFont="1" applyFill="1" applyBorder="1" applyAlignment="1">
      <alignment horizontal="center" vertical="center" wrapText="1"/>
    </xf>
    <xf numFmtId="0" fontId="15" fillId="11" borderId="6" xfId="4" applyFont="1" applyFill="1" applyBorder="1" applyAlignment="1">
      <alignment horizontal="center" vertical="center" wrapText="1"/>
    </xf>
    <xf numFmtId="0" fontId="15" fillId="11" borderId="4" xfId="4" applyFont="1" applyFill="1" applyBorder="1" applyAlignment="1">
      <alignment horizontal="left" vertical="center" wrapText="1"/>
    </xf>
    <xf numFmtId="0" fontId="15" fillId="11" borderId="3" xfId="4" applyFont="1" applyFill="1" applyBorder="1" applyAlignment="1">
      <alignment horizontal="left" vertical="center" wrapText="1"/>
    </xf>
  </cellXfs>
  <cellStyles count="12">
    <cellStyle name="Normal" xfId="0" builtinId="0"/>
    <cellStyle name="Normal 2" xfId="1"/>
    <cellStyle name="Normal 2 2" xfId="2"/>
    <cellStyle name="Normal 3" xfId="9"/>
    <cellStyle name="Normal 4" xfId="10"/>
    <cellStyle name="Normal 5" xfId="4"/>
    <cellStyle name="Normal_31.10.07" xfId="5"/>
    <cellStyle name="Normal_RD_ARGE" xfId="6"/>
    <cellStyle name="Normal_RD_Çay Ocağı" xfId="8"/>
    <cellStyle name="Normal_RD_Mis güvenlik" xfId="11"/>
    <cellStyle name="Normal_RD_Su Dairesi_2_2007" xfId="3"/>
    <cellStyle name="Yüzde 3" xfId="7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AKSİYONLARIN DURUMU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50"/>
      <c:rotY val="0"/>
      <c:depthPercent val="100"/>
      <c:rAngAx val="0"/>
      <c:perspective val="3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71C-4B58-8F6E-2BAD5BD2E349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71C-4B58-8F6E-2BAD5BD2E349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71C-4B58-8F6E-2BAD5BD2E349}"/>
              </c:ext>
            </c:extLst>
          </c:dPt>
          <c:dPt>
            <c:idx val="3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71C-4B58-8F6E-2BAD5BD2E3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'Aksiyon Planı_Risk Sıralamalı'!$M$2:$M$5</c:f>
              <c:strCache>
                <c:ptCount val="4"/>
                <c:pt idx="0">
                  <c:v>Hedef Tarihi Geçen</c:v>
                </c:pt>
                <c:pt idx="1">
                  <c:v>Zaman Var</c:v>
                </c:pt>
                <c:pt idx="2">
                  <c:v>Görüşülecek - Hedef tarih yok</c:v>
                </c:pt>
                <c:pt idx="3">
                  <c:v>Tamamlanan</c:v>
                </c:pt>
              </c:strCache>
            </c:strRef>
          </c:cat>
          <c:val>
            <c:numRef>
              <c:f>'Aksiyon Planı_Risk Sıralamalı'!$P$2:$P$5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55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A71C-4B58-8F6E-2BAD5BD2E349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'Aksiyon Planı_Risk Sıralamalı'!$M$2:$M$5</c:f>
              <c:strCache>
                <c:ptCount val="4"/>
                <c:pt idx="0">
                  <c:v>Hedef Tarihi Geçen</c:v>
                </c:pt>
                <c:pt idx="1">
                  <c:v>Zaman Var</c:v>
                </c:pt>
                <c:pt idx="2">
                  <c:v>Görüşülecek - Hedef tarih yok</c:v>
                </c:pt>
                <c:pt idx="3">
                  <c:v>Tamamlanan</c:v>
                </c:pt>
              </c:strCache>
            </c:strRef>
          </c:cat>
          <c:val>
            <c:numRef>
              <c:f>'Aksiyon Planı_Risk Sıralamalı'!$O$2:$O$5</c:f>
              <c:numCache>
                <c:formatCode>General</c:formatCode>
                <c:ptCount val="4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BA62-4E01-9570-D2E621AD7CB6}"/>
            </c:ext>
          </c:extLst>
        </c:ser>
        <c:ser>
          <c:idx val="2"/>
          <c:order val="2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'Aksiyon Planı_Risk Sıralamalı'!$M$2:$M$5</c:f>
              <c:strCache>
                <c:ptCount val="4"/>
                <c:pt idx="0">
                  <c:v>Hedef Tarihi Geçen</c:v>
                </c:pt>
                <c:pt idx="1">
                  <c:v>Zaman Var</c:v>
                </c:pt>
                <c:pt idx="2">
                  <c:v>Görüşülecek - Hedef tarih yok</c:v>
                </c:pt>
                <c:pt idx="3">
                  <c:v>Tamamlanan</c:v>
                </c:pt>
              </c:strCache>
            </c:strRef>
          </c:cat>
          <c:val>
            <c:numRef>
              <c:f>'Aksiyon Planı_Risk Sıralamalı'!$P$2:$P$5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55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BA62-4E01-9570-D2E621AD7CB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0.63953179883457556"/>
          <c:y val="0.46747688756328065"/>
          <c:w val="0.33394998879160392"/>
          <c:h val="0.35376204577642639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76200</xdr:colOff>
      <xdr:row>4</xdr:row>
      <xdr:rowOff>57830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xmlns="" id="{19DF67B2-3EE3-4359-81B7-3AC423152FD2}"/>
            </a:ext>
          </a:extLst>
        </xdr:cNvPr>
        <xdr:cNvSpPr txBox="1">
          <a:spLocks noChangeArrowheads="1"/>
        </xdr:cNvSpPr>
      </xdr:nvSpPr>
      <xdr:spPr bwMode="auto">
        <a:xfrm>
          <a:off x="2581275" y="0"/>
          <a:ext cx="76200" cy="1781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104775</xdr:colOff>
      <xdr:row>0</xdr:row>
      <xdr:rowOff>98271</xdr:rowOff>
    </xdr:from>
    <xdr:to>
      <xdr:col>5</xdr:col>
      <xdr:colOff>2257425</xdr:colOff>
      <xdr:row>5</xdr:row>
      <xdr:rowOff>304800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xmlns="" id="{AB8E05DC-72A3-4668-A3F3-1E6F267F21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80"/>
  <sheetViews>
    <sheetView showGridLines="0" tabSelected="1" zoomScale="90" zoomScaleNormal="90" zoomScaleSheetLayoutView="70" workbookViewId="0">
      <selection activeCell="J4" sqref="J4"/>
    </sheetView>
  </sheetViews>
  <sheetFormatPr defaultRowHeight="15.75"/>
  <cols>
    <col min="1" max="1" width="4.7109375" style="52" customWidth="1"/>
    <col min="2" max="2" width="10" style="53" customWidth="1"/>
    <col min="3" max="3" width="8.5703125" style="54" customWidth="1"/>
    <col min="4" max="4" width="3.5703125" style="54" customWidth="1"/>
    <col min="5" max="5" width="11.85546875" style="55" customWidth="1"/>
    <col min="6" max="6" width="35.7109375" style="48" customWidth="1"/>
    <col min="7" max="8" width="4.5703125" style="48" customWidth="1"/>
    <col min="9" max="9" width="5" style="48" customWidth="1"/>
    <col min="10" max="10" width="5.5703125" style="48" customWidth="1"/>
    <col min="11" max="11" width="10" style="48" customWidth="1"/>
    <col min="12" max="12" width="35.7109375" style="56" customWidth="1"/>
    <col min="13" max="13" width="11.42578125" style="57" customWidth="1"/>
    <col min="14" max="14" width="9.140625" style="46" customWidth="1"/>
    <col min="15" max="15" width="9.140625" style="58" customWidth="1"/>
    <col min="16" max="16" width="6.140625" style="58" customWidth="1"/>
    <col min="17" max="17" width="9.140625" style="58" customWidth="1"/>
    <col min="18" max="18" width="35.7109375" style="51" customWidth="1"/>
    <col min="19" max="19" width="6" style="51" customWidth="1"/>
    <col min="20" max="20" width="7.28515625" style="75" bestFit="1" customWidth="1"/>
    <col min="21" max="21" width="33.7109375" style="50" customWidth="1"/>
    <col min="22" max="22" width="58.140625" style="49" bestFit="1" customWidth="1"/>
    <col min="23" max="28" width="9.140625" style="48"/>
    <col min="29" max="16384" width="9.140625" style="49"/>
  </cols>
  <sheetData>
    <row r="1" spans="1:31" s="2" customFormat="1" ht="16.5" customHeight="1">
      <c r="B1" s="3"/>
      <c r="C1" s="4"/>
      <c r="D1" s="4"/>
      <c r="E1" s="5"/>
      <c r="L1" s="6"/>
      <c r="M1" s="127" t="s">
        <v>2</v>
      </c>
      <c r="N1" s="127"/>
      <c r="O1" s="127"/>
      <c r="P1" s="7" t="s">
        <v>3</v>
      </c>
      <c r="Q1" s="8" t="s">
        <v>4</v>
      </c>
      <c r="R1" s="30"/>
      <c r="T1" s="9"/>
      <c r="U1" s="10"/>
      <c r="V1" s="11"/>
      <c r="W1" s="12"/>
      <c r="X1" s="13"/>
      <c r="Y1" s="14"/>
      <c r="Z1" s="14"/>
      <c r="AA1" s="15"/>
    </row>
    <row r="2" spans="1:31" s="2" customFormat="1" ht="39.950000000000003" customHeight="1">
      <c r="B2" s="3"/>
      <c r="C2" s="4"/>
      <c r="D2" s="4"/>
      <c r="E2" s="16"/>
      <c r="F2" s="74" t="s">
        <v>5</v>
      </c>
      <c r="G2" s="124"/>
      <c r="H2" s="74"/>
      <c r="I2" s="17"/>
      <c r="J2" s="17"/>
      <c r="K2" s="17"/>
      <c r="L2" s="18">
        <f ca="1">TODAY()</f>
        <v>44739</v>
      </c>
      <c r="M2" s="128" t="s">
        <v>6</v>
      </c>
      <c r="N2" s="128"/>
      <c r="O2" s="128"/>
      <c r="P2" s="111">
        <f ca="1">COUNTIF(S:S,M2)</f>
        <v>0</v>
      </c>
      <c r="Q2" s="125">
        <f ca="1">P2*100/P6</f>
        <v>0</v>
      </c>
      <c r="R2" s="30"/>
      <c r="S2" s="19"/>
      <c r="T2" s="20"/>
      <c r="U2" s="15"/>
    </row>
    <row r="3" spans="1:31" s="2" customFormat="1" ht="39.950000000000003" customHeight="1">
      <c r="A3" s="21"/>
      <c r="B3" s="22"/>
      <c r="C3" s="16"/>
      <c r="D3" s="16"/>
      <c r="E3" s="23"/>
      <c r="F3" s="74" t="s">
        <v>7</v>
      </c>
      <c r="G3" s="104">
        <f ca="1">NOW()</f>
        <v>44739.646411689813</v>
      </c>
      <c r="H3" s="74"/>
      <c r="I3" s="17"/>
      <c r="J3" s="17"/>
      <c r="K3" s="17"/>
      <c r="L3" s="24"/>
      <c r="M3" s="129" t="s">
        <v>8</v>
      </c>
      <c r="N3" s="129"/>
      <c r="O3" s="129"/>
      <c r="P3" s="112">
        <f ca="1">COUNTIF(S:S,M3)</f>
        <v>0</v>
      </c>
      <c r="Q3" s="117">
        <f ca="1">P3*100/P6</f>
        <v>0</v>
      </c>
      <c r="R3" s="30"/>
      <c r="S3" s="19"/>
      <c r="T3" s="20"/>
      <c r="U3" s="15"/>
    </row>
    <row r="4" spans="1:31" s="28" customFormat="1" ht="39.950000000000003" customHeight="1">
      <c r="A4" s="25"/>
      <c r="B4" s="22"/>
      <c r="C4" s="26"/>
      <c r="D4" s="26"/>
      <c r="E4" s="23"/>
      <c r="F4" s="27"/>
      <c r="G4" s="27"/>
      <c r="H4" s="27"/>
      <c r="I4" s="27"/>
      <c r="J4" s="27"/>
      <c r="K4" s="27"/>
      <c r="M4" s="130" t="s">
        <v>9</v>
      </c>
      <c r="N4" s="130"/>
      <c r="O4" s="130"/>
      <c r="P4" s="113">
        <f ca="1">COUNTIF(S:S,M4)</f>
        <v>55</v>
      </c>
      <c r="Q4" s="119">
        <f ca="1">P4*100/P6</f>
        <v>100</v>
      </c>
      <c r="R4" s="30"/>
      <c r="S4" s="19"/>
      <c r="T4" s="29"/>
      <c r="U4" s="30"/>
    </row>
    <row r="5" spans="1:31" s="10" customFormat="1" ht="39.950000000000003" customHeight="1">
      <c r="A5" s="31"/>
      <c r="B5" s="3"/>
      <c r="C5" s="4"/>
      <c r="D5" s="4"/>
      <c r="E5" s="23"/>
      <c r="F5" s="32"/>
      <c r="G5" s="32"/>
      <c r="H5" s="32"/>
      <c r="I5" s="32"/>
      <c r="J5" s="32"/>
      <c r="K5" s="32"/>
      <c r="M5" s="131" t="s">
        <v>10</v>
      </c>
      <c r="N5" s="131"/>
      <c r="O5" s="131"/>
      <c r="P5" s="114">
        <f ca="1">COUNTIF(S:S,M5)</f>
        <v>0</v>
      </c>
      <c r="Q5" s="118">
        <f ca="1">P5*100/P6</f>
        <v>0</v>
      </c>
      <c r="R5" s="30"/>
      <c r="S5" s="19"/>
      <c r="T5" s="20"/>
      <c r="U5" s="33"/>
    </row>
    <row r="6" spans="1:31" s="2" customFormat="1" ht="39.950000000000003" customHeight="1">
      <c r="A6" s="34"/>
      <c r="B6" s="4"/>
      <c r="C6" s="35"/>
      <c r="D6" s="35"/>
      <c r="E6" s="23"/>
      <c r="F6" s="36"/>
      <c r="G6" s="36"/>
      <c r="H6" s="36"/>
      <c r="I6" s="36"/>
      <c r="J6" s="36"/>
      <c r="K6" s="36"/>
      <c r="M6" s="126" t="s">
        <v>11</v>
      </c>
      <c r="N6" s="126"/>
      <c r="O6" s="126"/>
      <c r="P6" s="115">
        <f ca="1">SUM(P2:P5)</f>
        <v>55</v>
      </c>
      <c r="Q6" s="115">
        <f ca="1">P6*100/P6</f>
        <v>100</v>
      </c>
      <c r="R6" s="116"/>
      <c r="S6" s="37"/>
      <c r="T6" s="20"/>
      <c r="U6" s="15"/>
    </row>
    <row r="7" spans="1:31" s="81" customFormat="1" ht="86.25" customHeight="1">
      <c r="A7" s="77" t="s">
        <v>12</v>
      </c>
      <c r="B7" s="78" t="s">
        <v>47</v>
      </c>
      <c r="C7" s="38" t="s">
        <v>21</v>
      </c>
      <c r="D7" s="39" t="s">
        <v>13</v>
      </c>
      <c r="E7" s="40" t="s">
        <v>14</v>
      </c>
      <c r="F7" s="41" t="s">
        <v>15</v>
      </c>
      <c r="G7" s="103" t="s">
        <v>85</v>
      </c>
      <c r="H7" s="103" t="s">
        <v>86</v>
      </c>
      <c r="I7" s="103" t="s">
        <v>87</v>
      </c>
      <c r="J7" s="103" t="s">
        <v>88</v>
      </c>
      <c r="K7" s="103" t="s">
        <v>89</v>
      </c>
      <c r="L7" s="79" t="s">
        <v>16</v>
      </c>
      <c r="M7" s="41" t="s">
        <v>17</v>
      </c>
      <c r="N7" s="42" t="s">
        <v>1</v>
      </c>
      <c r="O7" s="43" t="s">
        <v>18</v>
      </c>
      <c r="P7" s="85" t="s">
        <v>59</v>
      </c>
      <c r="Q7" s="43" t="s">
        <v>19</v>
      </c>
      <c r="R7" s="45" t="s">
        <v>20</v>
      </c>
      <c r="S7" s="44" t="s">
        <v>0</v>
      </c>
      <c r="T7" s="80"/>
    </row>
    <row r="8" spans="1:31" s="69" customFormat="1" ht="55.5" customHeight="1">
      <c r="A8" s="60"/>
      <c r="B8" s="61"/>
      <c r="C8" s="62"/>
      <c r="D8" s="63"/>
      <c r="E8" s="47"/>
      <c r="F8" s="120"/>
      <c r="G8" s="108"/>
      <c r="H8" s="108"/>
      <c r="I8" s="108"/>
      <c r="J8" s="108">
        <f t="shared" ref="J8:J39" si="0">G8*H8*I8</f>
        <v>0</v>
      </c>
      <c r="K8" s="64" t="str">
        <f t="shared" ref="K8:K39" si="1">IF(J8&gt;=400, "TOLERE EDİLEMEZ RİSK",IF(AND(J8&gt;=200, J8&lt;400),"YÜKSEK RİSK",IF(AND(J8&gt;=70, J8&lt;200),"ÖNEMLİ RİSK",IF(AND(J8&gt;=20, J8&lt;70),"OLASI RİSK",IF(AND(J8&lt;20, J8&gt;0), "DÜŞÜK RİSK","")))))</f>
        <v/>
      </c>
      <c r="L8" s="71"/>
      <c r="M8" s="73"/>
      <c r="N8" s="65" t="str">
        <f t="shared" ref="N8:N39" si="2">IF(J8&gt;=400,C8+7,IF(AND(J8&gt;=200,J8&lt;400),C8+30,IF(AND(J8&gt;=70,J8&lt;200),C8+180,IF(AND(J8&gt;=20,J8&lt;70),C8+365,IF(AND(J8&lt;20, J8&gt;0),"KONTROL","")))))</f>
        <v/>
      </c>
      <c r="O8" s="66"/>
      <c r="P8" s="59"/>
      <c r="Q8" s="66"/>
      <c r="R8" s="70"/>
      <c r="S8" s="67" t="str">
        <f t="shared" ref="S8:S39" ca="1" si="3">IF(CELL("tür",Q8)="d","Tamamlanan",IF(AND(N8="",O8="",Q8=""),"Görüşülecek - Hedef tarih yok",IF(AND(OR(N8&gt;$L$2,O8&gt;$L$2),CELL("tür",Q8)="b"),"Zaman Var",IF(AND(N8&lt;=$L$2,O8&lt;=$L$2,CELL("tür",Q8)="b"),"Hedef Tarihi Geçen"))))</f>
        <v>Görüşülecek - Hedef tarih yok</v>
      </c>
      <c r="T8" s="68"/>
      <c r="U8" s="68"/>
      <c r="V8" s="68"/>
      <c r="W8" s="68"/>
      <c r="X8" s="68"/>
      <c r="Y8" s="68"/>
    </row>
    <row r="9" spans="1:31" s="69" customFormat="1" ht="64.5">
      <c r="A9" s="60"/>
      <c r="B9" s="61"/>
      <c r="C9" s="62"/>
      <c r="D9" s="63"/>
      <c r="E9" s="47"/>
      <c r="F9" s="120"/>
      <c r="G9" s="108"/>
      <c r="H9" s="108"/>
      <c r="I9" s="108"/>
      <c r="J9" s="108">
        <f t="shared" si="0"/>
        <v>0</v>
      </c>
      <c r="K9" s="64" t="str">
        <f t="shared" si="1"/>
        <v/>
      </c>
      <c r="L9" s="71"/>
      <c r="M9" s="73"/>
      <c r="N9" s="65" t="str">
        <f t="shared" si="2"/>
        <v/>
      </c>
      <c r="O9" s="66"/>
      <c r="P9" s="59"/>
      <c r="Q9" s="66"/>
      <c r="R9" s="70"/>
      <c r="S9" s="67" t="str">
        <f t="shared" ca="1" si="3"/>
        <v>Görüşülecek - Hedef tarih yok</v>
      </c>
      <c r="T9" s="68"/>
      <c r="U9" s="68"/>
      <c r="V9" s="68"/>
      <c r="W9" s="68"/>
      <c r="X9" s="68"/>
      <c r="Y9" s="68"/>
    </row>
    <row r="10" spans="1:31" s="69" customFormat="1" ht="62.25" customHeight="1">
      <c r="A10" s="60"/>
      <c r="B10" s="61"/>
      <c r="C10" s="62"/>
      <c r="D10" s="63"/>
      <c r="E10" s="47"/>
      <c r="F10" s="120"/>
      <c r="G10" s="108"/>
      <c r="H10" s="108"/>
      <c r="I10" s="108"/>
      <c r="J10" s="108">
        <f t="shared" si="0"/>
        <v>0</v>
      </c>
      <c r="K10" s="64" t="str">
        <f t="shared" si="1"/>
        <v/>
      </c>
      <c r="L10" s="71"/>
      <c r="M10" s="73"/>
      <c r="N10" s="65" t="str">
        <f t="shared" si="2"/>
        <v/>
      </c>
      <c r="O10" s="66"/>
      <c r="P10" s="59"/>
      <c r="Q10" s="66"/>
      <c r="R10" s="70"/>
      <c r="S10" s="67" t="str">
        <f t="shared" ca="1" si="3"/>
        <v>Görüşülecek - Hedef tarih yok</v>
      </c>
      <c r="T10" s="68"/>
      <c r="U10" s="68"/>
      <c r="V10" s="68"/>
      <c r="W10" s="68"/>
      <c r="X10" s="68"/>
      <c r="Y10" s="68"/>
    </row>
    <row r="11" spans="1:31" s="69" customFormat="1" ht="54.75" customHeight="1">
      <c r="A11" s="60"/>
      <c r="B11" s="61"/>
      <c r="C11" s="62"/>
      <c r="D11" s="63"/>
      <c r="E11" s="47"/>
      <c r="F11" s="120"/>
      <c r="G11" s="108"/>
      <c r="H11" s="108"/>
      <c r="I11" s="108"/>
      <c r="J11" s="108">
        <f t="shared" si="0"/>
        <v>0</v>
      </c>
      <c r="K11" s="64" t="str">
        <f t="shared" si="1"/>
        <v/>
      </c>
      <c r="L11" s="71"/>
      <c r="M11" s="73"/>
      <c r="N11" s="65" t="str">
        <f t="shared" si="2"/>
        <v/>
      </c>
      <c r="O11" s="66"/>
      <c r="P11" s="59"/>
      <c r="Q11" s="66"/>
      <c r="R11" s="70"/>
      <c r="S11" s="67" t="str">
        <f t="shared" ca="1" si="3"/>
        <v>Görüşülecek - Hedef tarih yok</v>
      </c>
      <c r="T11" s="68"/>
      <c r="U11" s="68"/>
      <c r="V11" s="68"/>
      <c r="W11" s="68"/>
      <c r="X11" s="68"/>
      <c r="Y11" s="68"/>
    </row>
    <row r="12" spans="1:31" s="69" customFormat="1" ht="54.75" customHeight="1">
      <c r="A12" s="60"/>
      <c r="B12" s="61"/>
      <c r="C12" s="62"/>
      <c r="D12" s="63"/>
      <c r="E12" s="47"/>
      <c r="F12" s="120"/>
      <c r="G12" s="108"/>
      <c r="H12" s="108"/>
      <c r="I12" s="108"/>
      <c r="J12" s="108">
        <f t="shared" si="0"/>
        <v>0</v>
      </c>
      <c r="K12" s="64" t="str">
        <f t="shared" si="1"/>
        <v/>
      </c>
      <c r="L12" s="71"/>
      <c r="M12" s="73"/>
      <c r="N12" s="65" t="str">
        <f t="shared" si="2"/>
        <v/>
      </c>
      <c r="O12" s="66"/>
      <c r="P12" s="59"/>
      <c r="Q12" s="66"/>
      <c r="R12" s="70"/>
      <c r="S12" s="67" t="str">
        <f t="shared" ca="1" si="3"/>
        <v>Görüşülecek - Hedef tarih yok</v>
      </c>
      <c r="T12" s="68"/>
      <c r="U12" s="68"/>
      <c r="V12" s="68"/>
      <c r="W12" s="68"/>
      <c r="X12" s="68"/>
      <c r="Y12" s="68"/>
    </row>
    <row r="13" spans="1:31" s="69" customFormat="1" ht="54.75" customHeight="1">
      <c r="A13" s="60"/>
      <c r="B13" s="61"/>
      <c r="C13" s="62"/>
      <c r="D13" s="63"/>
      <c r="E13" s="47"/>
      <c r="F13" s="120"/>
      <c r="G13" s="108"/>
      <c r="H13" s="108"/>
      <c r="I13" s="108"/>
      <c r="J13" s="108">
        <f t="shared" si="0"/>
        <v>0</v>
      </c>
      <c r="K13" s="64" t="str">
        <f t="shared" si="1"/>
        <v/>
      </c>
      <c r="L13" s="71"/>
      <c r="M13" s="73"/>
      <c r="N13" s="65" t="str">
        <f t="shared" si="2"/>
        <v/>
      </c>
      <c r="O13" s="66"/>
      <c r="P13" s="59"/>
      <c r="Q13" s="66"/>
      <c r="R13" s="70"/>
      <c r="S13" s="67" t="str">
        <f t="shared" ca="1" si="3"/>
        <v>Görüşülecek - Hedef tarih yok</v>
      </c>
      <c r="T13" s="68"/>
      <c r="U13" s="68"/>
      <c r="V13" s="68"/>
      <c r="W13" s="68"/>
      <c r="X13" s="68"/>
      <c r="Y13" s="68"/>
    </row>
    <row r="14" spans="1:31" s="69" customFormat="1" ht="54.75" customHeight="1">
      <c r="A14" s="60"/>
      <c r="B14" s="61"/>
      <c r="C14" s="62"/>
      <c r="D14" s="63"/>
      <c r="E14" s="47"/>
      <c r="F14" s="120"/>
      <c r="G14" s="108"/>
      <c r="H14" s="108"/>
      <c r="I14" s="108"/>
      <c r="J14" s="108">
        <f t="shared" si="0"/>
        <v>0</v>
      </c>
      <c r="K14" s="64" t="str">
        <f t="shared" si="1"/>
        <v/>
      </c>
      <c r="L14" s="71"/>
      <c r="M14" s="73"/>
      <c r="N14" s="65" t="str">
        <f t="shared" si="2"/>
        <v/>
      </c>
      <c r="O14" s="66"/>
      <c r="P14" s="59"/>
      <c r="Q14" s="66"/>
      <c r="R14" s="70"/>
      <c r="S14" s="67" t="str">
        <f t="shared" ca="1" si="3"/>
        <v>Görüşülecek - Hedef tarih yok</v>
      </c>
      <c r="T14" s="68"/>
      <c r="U14" s="68"/>
      <c r="V14" s="68"/>
      <c r="W14" s="68"/>
      <c r="X14" s="68"/>
      <c r="Y14" s="68"/>
    </row>
    <row r="15" spans="1:31" s="72" customFormat="1" ht="54.75" customHeight="1">
      <c r="A15" s="60"/>
      <c r="B15" s="61"/>
      <c r="C15" s="62"/>
      <c r="D15" s="63"/>
      <c r="E15" s="47"/>
      <c r="F15" s="120"/>
      <c r="G15" s="108"/>
      <c r="H15" s="108"/>
      <c r="I15" s="108"/>
      <c r="J15" s="108">
        <f t="shared" si="0"/>
        <v>0</v>
      </c>
      <c r="K15" s="64" t="str">
        <f t="shared" si="1"/>
        <v/>
      </c>
      <c r="L15" s="71"/>
      <c r="M15" s="73"/>
      <c r="N15" s="65" t="str">
        <f t="shared" si="2"/>
        <v/>
      </c>
      <c r="O15" s="66"/>
      <c r="P15" s="59"/>
      <c r="Q15" s="66"/>
      <c r="R15" s="70"/>
      <c r="S15" s="67" t="str">
        <f t="shared" ca="1" si="3"/>
        <v>Görüşülecek - Hedef tarih yok</v>
      </c>
      <c r="T15" s="68"/>
      <c r="U15" s="68"/>
      <c r="V15" s="68"/>
      <c r="W15" s="68"/>
      <c r="X15" s="68"/>
      <c r="Y15" s="68"/>
      <c r="Z15" s="69"/>
      <c r="AA15" s="69"/>
      <c r="AB15" s="69"/>
      <c r="AC15" s="69"/>
      <c r="AD15" s="69"/>
      <c r="AE15" s="69"/>
    </row>
    <row r="16" spans="1:31" s="72" customFormat="1" ht="54.75" customHeight="1">
      <c r="A16" s="60"/>
      <c r="B16" s="61"/>
      <c r="C16" s="62"/>
      <c r="D16" s="63"/>
      <c r="E16" s="47"/>
      <c r="F16" s="120"/>
      <c r="G16" s="108"/>
      <c r="H16" s="108"/>
      <c r="I16" s="108"/>
      <c r="J16" s="108">
        <f t="shared" si="0"/>
        <v>0</v>
      </c>
      <c r="K16" s="64" t="str">
        <f t="shared" si="1"/>
        <v/>
      </c>
      <c r="L16" s="71"/>
      <c r="M16" s="73"/>
      <c r="N16" s="65" t="str">
        <f t="shared" si="2"/>
        <v/>
      </c>
      <c r="O16" s="66"/>
      <c r="P16" s="59"/>
      <c r="Q16" s="66"/>
      <c r="R16" s="70"/>
      <c r="S16" s="67" t="str">
        <f t="shared" ca="1" si="3"/>
        <v>Görüşülecek - Hedef tarih yok</v>
      </c>
      <c r="T16" s="68"/>
      <c r="U16" s="68"/>
      <c r="V16" s="68"/>
      <c r="W16" s="68"/>
      <c r="X16" s="68"/>
      <c r="Y16" s="68"/>
      <c r="Z16" s="69"/>
      <c r="AA16" s="69"/>
      <c r="AB16" s="69"/>
      <c r="AC16" s="69"/>
      <c r="AD16" s="69"/>
      <c r="AE16" s="69"/>
    </row>
    <row r="17" spans="1:20" ht="54.75" customHeight="1">
      <c r="A17" s="60"/>
      <c r="B17" s="61"/>
      <c r="C17" s="62"/>
      <c r="D17" s="63"/>
      <c r="E17" s="47"/>
      <c r="F17" s="120"/>
      <c r="G17" s="108"/>
      <c r="H17" s="108"/>
      <c r="I17" s="108"/>
      <c r="J17" s="108">
        <f t="shared" si="0"/>
        <v>0</v>
      </c>
      <c r="K17" s="64" t="str">
        <f t="shared" si="1"/>
        <v/>
      </c>
      <c r="L17" s="71"/>
      <c r="M17" s="73"/>
      <c r="N17" s="65" t="str">
        <f t="shared" si="2"/>
        <v/>
      </c>
      <c r="O17" s="66"/>
      <c r="P17" s="59"/>
      <c r="Q17" s="66"/>
      <c r="R17" s="70"/>
      <c r="S17" s="67" t="str">
        <f t="shared" ca="1" si="3"/>
        <v>Görüşülecek - Hedef tarih yok</v>
      </c>
      <c r="T17" s="68"/>
    </row>
    <row r="18" spans="1:20" ht="54.75" customHeight="1">
      <c r="A18" s="60"/>
      <c r="B18" s="61"/>
      <c r="C18" s="62"/>
      <c r="D18" s="63"/>
      <c r="E18" s="47"/>
      <c r="F18" s="120"/>
      <c r="G18" s="108"/>
      <c r="H18" s="108"/>
      <c r="I18" s="108"/>
      <c r="J18" s="108">
        <f t="shared" si="0"/>
        <v>0</v>
      </c>
      <c r="K18" s="64" t="str">
        <f t="shared" si="1"/>
        <v/>
      </c>
      <c r="L18" s="71"/>
      <c r="M18" s="73"/>
      <c r="N18" s="65" t="str">
        <f t="shared" si="2"/>
        <v/>
      </c>
      <c r="O18" s="66"/>
      <c r="P18" s="59"/>
      <c r="Q18" s="66"/>
      <c r="R18" s="70"/>
      <c r="S18" s="67" t="str">
        <f t="shared" ca="1" si="3"/>
        <v>Görüşülecek - Hedef tarih yok</v>
      </c>
      <c r="T18" s="68"/>
    </row>
    <row r="19" spans="1:20" ht="54.75" customHeight="1">
      <c r="A19" s="60"/>
      <c r="B19" s="61"/>
      <c r="C19" s="62"/>
      <c r="D19" s="63"/>
      <c r="E19" s="47"/>
      <c r="F19" s="76"/>
      <c r="G19" s="108"/>
      <c r="H19" s="108"/>
      <c r="I19" s="108"/>
      <c r="J19" s="108">
        <f t="shared" si="0"/>
        <v>0</v>
      </c>
      <c r="K19" s="64" t="str">
        <f t="shared" si="1"/>
        <v/>
      </c>
      <c r="L19" s="121"/>
      <c r="M19" s="73"/>
      <c r="N19" s="65" t="str">
        <f t="shared" si="2"/>
        <v/>
      </c>
      <c r="O19" s="66"/>
      <c r="P19" s="59"/>
      <c r="Q19" s="66"/>
      <c r="R19" s="70"/>
      <c r="S19" s="67" t="str">
        <f t="shared" ca="1" si="3"/>
        <v>Görüşülecek - Hedef tarih yok</v>
      </c>
      <c r="T19" s="68"/>
    </row>
    <row r="20" spans="1:20" ht="54.75" customHeight="1">
      <c r="A20" s="60"/>
      <c r="B20" s="61"/>
      <c r="C20" s="62"/>
      <c r="D20" s="63"/>
      <c r="E20" s="47"/>
      <c r="F20" s="120"/>
      <c r="G20" s="108"/>
      <c r="H20" s="108"/>
      <c r="I20" s="108"/>
      <c r="J20" s="108">
        <f t="shared" si="0"/>
        <v>0</v>
      </c>
      <c r="K20" s="64" t="str">
        <f t="shared" si="1"/>
        <v/>
      </c>
      <c r="L20" s="71"/>
      <c r="M20" s="73"/>
      <c r="N20" s="65" t="str">
        <f t="shared" si="2"/>
        <v/>
      </c>
      <c r="O20" s="66"/>
      <c r="P20" s="59"/>
      <c r="Q20" s="66"/>
      <c r="R20" s="70"/>
      <c r="S20" s="67" t="str">
        <f t="shared" ca="1" si="3"/>
        <v>Görüşülecek - Hedef tarih yok</v>
      </c>
      <c r="T20" s="68"/>
    </row>
    <row r="21" spans="1:20" ht="54.75" customHeight="1">
      <c r="A21" s="60"/>
      <c r="B21" s="61"/>
      <c r="C21" s="62"/>
      <c r="D21" s="63"/>
      <c r="E21" s="47"/>
      <c r="F21" s="120"/>
      <c r="G21" s="108"/>
      <c r="H21" s="108"/>
      <c r="I21" s="108"/>
      <c r="J21" s="108">
        <f t="shared" si="0"/>
        <v>0</v>
      </c>
      <c r="K21" s="64" t="str">
        <f t="shared" si="1"/>
        <v/>
      </c>
      <c r="L21" s="71"/>
      <c r="M21" s="73"/>
      <c r="N21" s="65" t="str">
        <f t="shared" si="2"/>
        <v/>
      </c>
      <c r="O21" s="66"/>
      <c r="P21" s="59"/>
      <c r="Q21" s="66"/>
      <c r="R21" s="70"/>
      <c r="S21" s="67" t="str">
        <f t="shared" ca="1" si="3"/>
        <v>Görüşülecek - Hedef tarih yok</v>
      </c>
      <c r="T21" s="68"/>
    </row>
    <row r="22" spans="1:20" ht="54.75" customHeight="1">
      <c r="A22" s="60"/>
      <c r="B22" s="61"/>
      <c r="C22" s="62"/>
      <c r="D22" s="63"/>
      <c r="E22" s="47"/>
      <c r="F22" s="120"/>
      <c r="G22" s="108"/>
      <c r="H22" s="108"/>
      <c r="I22" s="108"/>
      <c r="J22" s="108">
        <f t="shared" si="0"/>
        <v>0</v>
      </c>
      <c r="K22" s="64" t="str">
        <f t="shared" si="1"/>
        <v/>
      </c>
      <c r="L22" s="71"/>
      <c r="M22" s="73"/>
      <c r="N22" s="65" t="str">
        <f t="shared" si="2"/>
        <v/>
      </c>
      <c r="O22" s="66"/>
      <c r="P22" s="59"/>
      <c r="Q22" s="123"/>
      <c r="R22" s="70"/>
      <c r="S22" s="67" t="str">
        <f t="shared" ca="1" si="3"/>
        <v>Görüşülecek - Hedef tarih yok</v>
      </c>
      <c r="T22" s="68"/>
    </row>
    <row r="23" spans="1:20" ht="54.75" customHeight="1">
      <c r="A23" s="60"/>
      <c r="B23" s="61"/>
      <c r="C23" s="62"/>
      <c r="D23" s="63"/>
      <c r="E23" s="47"/>
      <c r="F23" s="120"/>
      <c r="G23" s="108"/>
      <c r="H23" s="108"/>
      <c r="I23" s="108"/>
      <c r="J23" s="108">
        <f t="shared" si="0"/>
        <v>0</v>
      </c>
      <c r="K23" s="64" t="str">
        <f t="shared" si="1"/>
        <v/>
      </c>
      <c r="L23" s="71"/>
      <c r="M23" s="73"/>
      <c r="N23" s="65" t="str">
        <f t="shared" si="2"/>
        <v/>
      </c>
      <c r="O23" s="66"/>
      <c r="P23" s="59"/>
      <c r="Q23" s="123"/>
      <c r="R23" s="70"/>
      <c r="S23" s="67" t="str">
        <f t="shared" ca="1" si="3"/>
        <v>Görüşülecek - Hedef tarih yok</v>
      </c>
      <c r="T23" s="68"/>
    </row>
    <row r="24" spans="1:20" ht="54.75" customHeight="1">
      <c r="A24" s="60"/>
      <c r="B24" s="61"/>
      <c r="C24" s="62"/>
      <c r="D24" s="63"/>
      <c r="E24" s="47"/>
      <c r="F24" s="120"/>
      <c r="G24" s="108"/>
      <c r="H24" s="108"/>
      <c r="I24" s="108"/>
      <c r="J24" s="108">
        <f t="shared" si="0"/>
        <v>0</v>
      </c>
      <c r="K24" s="64" t="str">
        <f t="shared" si="1"/>
        <v/>
      </c>
      <c r="L24" s="71"/>
      <c r="M24" s="73"/>
      <c r="N24" s="65" t="str">
        <f t="shared" si="2"/>
        <v/>
      </c>
      <c r="O24" s="66"/>
      <c r="P24" s="59"/>
      <c r="Q24" s="123"/>
      <c r="R24" s="70"/>
      <c r="S24" s="67" t="str">
        <f t="shared" ca="1" si="3"/>
        <v>Görüşülecek - Hedef tarih yok</v>
      </c>
      <c r="T24" s="68"/>
    </row>
    <row r="25" spans="1:20" ht="54.75" customHeight="1">
      <c r="A25" s="60"/>
      <c r="B25" s="61"/>
      <c r="C25" s="62"/>
      <c r="D25" s="63"/>
      <c r="E25" s="47"/>
      <c r="F25" s="76"/>
      <c r="G25" s="108"/>
      <c r="H25" s="108"/>
      <c r="I25" s="108"/>
      <c r="J25" s="108">
        <f t="shared" si="0"/>
        <v>0</v>
      </c>
      <c r="K25" s="64" t="str">
        <f t="shared" si="1"/>
        <v/>
      </c>
      <c r="L25" s="121"/>
      <c r="M25" s="73"/>
      <c r="N25" s="65" t="str">
        <f t="shared" si="2"/>
        <v/>
      </c>
      <c r="O25" s="66"/>
      <c r="P25" s="59"/>
      <c r="Q25" s="66"/>
      <c r="R25" s="70"/>
      <c r="S25" s="67" t="str">
        <f t="shared" ca="1" si="3"/>
        <v>Görüşülecek - Hedef tarih yok</v>
      </c>
      <c r="T25" s="68"/>
    </row>
    <row r="26" spans="1:20" ht="54.75" customHeight="1">
      <c r="A26" s="60"/>
      <c r="B26" s="61"/>
      <c r="C26" s="62"/>
      <c r="D26" s="63"/>
      <c r="E26" s="47"/>
      <c r="F26" s="76"/>
      <c r="G26" s="108"/>
      <c r="H26" s="108"/>
      <c r="I26" s="108"/>
      <c r="J26" s="108">
        <f t="shared" si="0"/>
        <v>0</v>
      </c>
      <c r="K26" s="64" t="str">
        <f t="shared" si="1"/>
        <v/>
      </c>
      <c r="L26" s="121"/>
      <c r="M26" s="73"/>
      <c r="N26" s="65" t="str">
        <f t="shared" si="2"/>
        <v/>
      </c>
      <c r="O26" s="66"/>
      <c r="P26" s="59"/>
      <c r="Q26" s="123"/>
      <c r="R26" s="70"/>
      <c r="S26" s="67" t="str">
        <f t="shared" ca="1" si="3"/>
        <v>Görüşülecek - Hedef tarih yok</v>
      </c>
      <c r="T26" s="68"/>
    </row>
    <row r="27" spans="1:20" ht="54.75" customHeight="1">
      <c r="A27" s="60"/>
      <c r="B27" s="61"/>
      <c r="C27" s="62"/>
      <c r="D27" s="63"/>
      <c r="E27" s="47"/>
      <c r="F27" s="76"/>
      <c r="G27" s="108"/>
      <c r="H27" s="108"/>
      <c r="I27" s="108"/>
      <c r="J27" s="108">
        <f t="shared" si="0"/>
        <v>0</v>
      </c>
      <c r="K27" s="64" t="str">
        <f t="shared" si="1"/>
        <v/>
      </c>
      <c r="L27" s="71"/>
      <c r="M27" s="73"/>
      <c r="N27" s="65" t="str">
        <f t="shared" si="2"/>
        <v/>
      </c>
      <c r="O27" s="66"/>
      <c r="P27" s="59"/>
      <c r="Q27" s="123"/>
      <c r="R27" s="70"/>
      <c r="S27" s="67" t="str">
        <f t="shared" ca="1" si="3"/>
        <v>Görüşülecek - Hedef tarih yok</v>
      </c>
      <c r="T27" s="68"/>
    </row>
    <row r="28" spans="1:20" ht="54.75" customHeight="1">
      <c r="A28" s="60"/>
      <c r="B28" s="61"/>
      <c r="C28" s="62"/>
      <c r="D28" s="63"/>
      <c r="E28" s="47"/>
      <c r="F28" s="76"/>
      <c r="G28" s="108"/>
      <c r="H28" s="108"/>
      <c r="I28" s="108"/>
      <c r="J28" s="108">
        <f t="shared" si="0"/>
        <v>0</v>
      </c>
      <c r="K28" s="64" t="str">
        <f t="shared" si="1"/>
        <v/>
      </c>
      <c r="L28" s="71"/>
      <c r="M28" s="73"/>
      <c r="N28" s="65" t="str">
        <f t="shared" si="2"/>
        <v/>
      </c>
      <c r="O28" s="66"/>
      <c r="P28" s="59"/>
      <c r="Q28" s="123"/>
      <c r="R28" s="70"/>
      <c r="S28" s="67" t="str">
        <f t="shared" ca="1" si="3"/>
        <v>Görüşülecek - Hedef tarih yok</v>
      </c>
      <c r="T28" s="68"/>
    </row>
    <row r="29" spans="1:20" ht="54.75" customHeight="1">
      <c r="A29" s="60"/>
      <c r="B29" s="61"/>
      <c r="C29" s="62"/>
      <c r="D29" s="63"/>
      <c r="E29" s="47"/>
      <c r="F29" s="76"/>
      <c r="G29" s="108"/>
      <c r="H29" s="108"/>
      <c r="I29" s="108"/>
      <c r="J29" s="108">
        <f t="shared" si="0"/>
        <v>0</v>
      </c>
      <c r="K29" s="64" t="str">
        <f t="shared" si="1"/>
        <v/>
      </c>
      <c r="L29" s="71"/>
      <c r="M29" s="73"/>
      <c r="N29" s="65" t="str">
        <f t="shared" si="2"/>
        <v/>
      </c>
      <c r="O29" s="66"/>
      <c r="P29" s="59"/>
      <c r="Q29" s="66"/>
      <c r="R29" s="70"/>
      <c r="S29" s="67" t="str">
        <f t="shared" ca="1" si="3"/>
        <v>Görüşülecek - Hedef tarih yok</v>
      </c>
      <c r="T29" s="68"/>
    </row>
    <row r="30" spans="1:20" ht="54.75" customHeight="1">
      <c r="A30" s="60"/>
      <c r="B30" s="61"/>
      <c r="C30" s="62"/>
      <c r="D30" s="63"/>
      <c r="E30" s="47"/>
      <c r="F30" s="76"/>
      <c r="G30" s="108"/>
      <c r="H30" s="108"/>
      <c r="I30" s="108"/>
      <c r="J30" s="108">
        <f t="shared" si="0"/>
        <v>0</v>
      </c>
      <c r="K30" s="64" t="str">
        <f t="shared" si="1"/>
        <v/>
      </c>
      <c r="L30" s="71"/>
      <c r="M30" s="73"/>
      <c r="N30" s="65" t="str">
        <f t="shared" si="2"/>
        <v/>
      </c>
      <c r="O30" s="66"/>
      <c r="P30" s="59"/>
      <c r="Q30" s="66"/>
      <c r="R30" s="70"/>
      <c r="S30" s="67" t="str">
        <f t="shared" ca="1" si="3"/>
        <v>Görüşülecek - Hedef tarih yok</v>
      </c>
      <c r="T30" s="68"/>
    </row>
    <row r="31" spans="1:20" ht="54.75" customHeight="1">
      <c r="A31" s="60"/>
      <c r="B31" s="61"/>
      <c r="C31" s="62"/>
      <c r="D31" s="63"/>
      <c r="E31" s="47"/>
      <c r="F31" s="76"/>
      <c r="G31" s="108"/>
      <c r="H31" s="108"/>
      <c r="I31" s="108"/>
      <c r="J31" s="108">
        <f t="shared" si="0"/>
        <v>0</v>
      </c>
      <c r="K31" s="64" t="str">
        <f t="shared" si="1"/>
        <v/>
      </c>
      <c r="L31" s="71"/>
      <c r="M31" s="73"/>
      <c r="N31" s="65" t="str">
        <f t="shared" si="2"/>
        <v/>
      </c>
      <c r="O31" s="66"/>
      <c r="P31" s="59"/>
      <c r="Q31" s="66"/>
      <c r="R31" s="70"/>
      <c r="S31" s="67" t="str">
        <f t="shared" ca="1" si="3"/>
        <v>Görüşülecek - Hedef tarih yok</v>
      </c>
      <c r="T31" s="68"/>
    </row>
    <row r="32" spans="1:20" ht="54.75" customHeight="1">
      <c r="A32" s="60"/>
      <c r="B32" s="61"/>
      <c r="C32" s="62"/>
      <c r="D32" s="63"/>
      <c r="E32" s="47"/>
      <c r="F32" s="76"/>
      <c r="G32" s="108"/>
      <c r="H32" s="108"/>
      <c r="I32" s="108"/>
      <c r="J32" s="108">
        <f t="shared" si="0"/>
        <v>0</v>
      </c>
      <c r="K32" s="64" t="str">
        <f t="shared" si="1"/>
        <v/>
      </c>
      <c r="L32" s="71"/>
      <c r="M32" s="73"/>
      <c r="N32" s="65" t="str">
        <f t="shared" si="2"/>
        <v/>
      </c>
      <c r="O32" s="66"/>
      <c r="P32" s="59"/>
      <c r="Q32" s="66"/>
      <c r="R32" s="70"/>
      <c r="S32" s="67" t="str">
        <f t="shared" ca="1" si="3"/>
        <v>Görüşülecek - Hedef tarih yok</v>
      </c>
      <c r="T32" s="68"/>
    </row>
    <row r="33" spans="1:20" ht="54.75" customHeight="1">
      <c r="A33" s="60"/>
      <c r="B33" s="61"/>
      <c r="C33" s="62"/>
      <c r="D33" s="63"/>
      <c r="E33" s="47"/>
      <c r="F33" s="76"/>
      <c r="G33" s="108"/>
      <c r="H33" s="108"/>
      <c r="I33" s="108"/>
      <c r="J33" s="108">
        <f t="shared" si="0"/>
        <v>0</v>
      </c>
      <c r="K33" s="64" t="str">
        <f t="shared" si="1"/>
        <v/>
      </c>
      <c r="L33" s="71"/>
      <c r="M33" s="73"/>
      <c r="N33" s="65" t="str">
        <f t="shared" si="2"/>
        <v/>
      </c>
      <c r="O33" s="66"/>
      <c r="P33" s="59"/>
      <c r="Q33" s="66"/>
      <c r="R33" s="70"/>
      <c r="S33" s="67" t="str">
        <f t="shared" ca="1" si="3"/>
        <v>Görüşülecek - Hedef tarih yok</v>
      </c>
      <c r="T33" s="68"/>
    </row>
    <row r="34" spans="1:20" ht="54.75" customHeight="1">
      <c r="A34" s="60"/>
      <c r="B34" s="61"/>
      <c r="C34" s="62"/>
      <c r="D34" s="63"/>
      <c r="E34" s="47"/>
      <c r="F34" s="76"/>
      <c r="G34" s="108"/>
      <c r="H34" s="108"/>
      <c r="I34" s="108"/>
      <c r="J34" s="108">
        <f t="shared" si="0"/>
        <v>0</v>
      </c>
      <c r="K34" s="64" t="str">
        <f t="shared" si="1"/>
        <v/>
      </c>
      <c r="L34" s="71"/>
      <c r="M34" s="73"/>
      <c r="N34" s="65" t="str">
        <f t="shared" si="2"/>
        <v/>
      </c>
      <c r="O34" s="66"/>
      <c r="P34" s="59"/>
      <c r="Q34" s="66"/>
      <c r="R34" s="70"/>
      <c r="S34" s="67" t="str">
        <f t="shared" ca="1" si="3"/>
        <v>Görüşülecek - Hedef tarih yok</v>
      </c>
      <c r="T34" s="68"/>
    </row>
    <row r="35" spans="1:20" ht="54.75" customHeight="1">
      <c r="A35" s="60"/>
      <c r="B35" s="61"/>
      <c r="C35" s="62"/>
      <c r="D35" s="63"/>
      <c r="E35" s="47"/>
      <c r="F35" s="76"/>
      <c r="G35" s="108"/>
      <c r="H35" s="108"/>
      <c r="I35" s="108"/>
      <c r="J35" s="108">
        <f t="shared" si="0"/>
        <v>0</v>
      </c>
      <c r="K35" s="64" t="str">
        <f t="shared" si="1"/>
        <v/>
      </c>
      <c r="L35" s="71"/>
      <c r="M35" s="73"/>
      <c r="N35" s="65" t="str">
        <f t="shared" si="2"/>
        <v/>
      </c>
      <c r="O35" s="66"/>
      <c r="P35" s="59"/>
      <c r="Q35" s="66"/>
      <c r="R35" s="70"/>
      <c r="S35" s="67" t="str">
        <f t="shared" ca="1" si="3"/>
        <v>Görüşülecek - Hedef tarih yok</v>
      </c>
      <c r="T35" s="68"/>
    </row>
    <row r="36" spans="1:20" ht="54.75" customHeight="1">
      <c r="A36" s="60"/>
      <c r="B36" s="61"/>
      <c r="C36" s="62"/>
      <c r="D36" s="63"/>
      <c r="E36" s="47"/>
      <c r="F36" s="76"/>
      <c r="G36" s="108"/>
      <c r="H36" s="108"/>
      <c r="I36" s="108"/>
      <c r="J36" s="108">
        <f t="shared" si="0"/>
        <v>0</v>
      </c>
      <c r="K36" s="64" t="str">
        <f t="shared" si="1"/>
        <v/>
      </c>
      <c r="L36" s="71"/>
      <c r="M36" s="73"/>
      <c r="N36" s="65" t="str">
        <f t="shared" si="2"/>
        <v/>
      </c>
      <c r="O36" s="66"/>
      <c r="P36" s="59"/>
      <c r="Q36" s="66"/>
      <c r="R36" s="70"/>
      <c r="S36" s="67" t="str">
        <f t="shared" ca="1" si="3"/>
        <v>Görüşülecek - Hedef tarih yok</v>
      </c>
      <c r="T36" s="68"/>
    </row>
    <row r="37" spans="1:20" ht="54.75" customHeight="1">
      <c r="A37" s="60"/>
      <c r="B37" s="61"/>
      <c r="C37" s="62"/>
      <c r="D37" s="63"/>
      <c r="E37" s="47"/>
      <c r="F37" s="76"/>
      <c r="G37" s="108"/>
      <c r="H37" s="108"/>
      <c r="I37" s="108"/>
      <c r="J37" s="108">
        <f t="shared" si="0"/>
        <v>0</v>
      </c>
      <c r="K37" s="64" t="str">
        <f t="shared" si="1"/>
        <v/>
      </c>
      <c r="L37" s="71"/>
      <c r="M37" s="73"/>
      <c r="N37" s="65" t="str">
        <f t="shared" si="2"/>
        <v/>
      </c>
      <c r="O37" s="66"/>
      <c r="P37" s="59"/>
      <c r="Q37" s="66"/>
      <c r="R37" s="70"/>
      <c r="S37" s="67" t="str">
        <f t="shared" ca="1" si="3"/>
        <v>Görüşülecek - Hedef tarih yok</v>
      </c>
      <c r="T37" s="68"/>
    </row>
    <row r="38" spans="1:20" ht="54.75" customHeight="1">
      <c r="A38" s="60"/>
      <c r="B38" s="61"/>
      <c r="C38" s="62"/>
      <c r="D38" s="63"/>
      <c r="E38" s="47"/>
      <c r="F38" s="76"/>
      <c r="G38" s="108"/>
      <c r="H38" s="108"/>
      <c r="I38" s="108"/>
      <c r="J38" s="108">
        <f t="shared" si="0"/>
        <v>0</v>
      </c>
      <c r="K38" s="64" t="str">
        <f t="shared" si="1"/>
        <v/>
      </c>
      <c r="L38" s="71"/>
      <c r="M38" s="73"/>
      <c r="N38" s="65" t="str">
        <f t="shared" si="2"/>
        <v/>
      </c>
      <c r="O38" s="66"/>
      <c r="P38" s="59"/>
      <c r="Q38" s="66"/>
      <c r="R38" s="70"/>
      <c r="S38" s="67" t="str">
        <f t="shared" ca="1" si="3"/>
        <v>Görüşülecek - Hedef tarih yok</v>
      </c>
      <c r="T38" s="68"/>
    </row>
    <row r="39" spans="1:20" ht="54.75" customHeight="1">
      <c r="A39" s="60"/>
      <c r="B39" s="61"/>
      <c r="C39" s="62"/>
      <c r="D39" s="63"/>
      <c r="E39" s="47"/>
      <c r="F39" s="76"/>
      <c r="G39" s="108"/>
      <c r="H39" s="108"/>
      <c r="I39" s="108"/>
      <c r="J39" s="108">
        <f t="shared" si="0"/>
        <v>0</v>
      </c>
      <c r="K39" s="64" t="str">
        <f t="shared" si="1"/>
        <v/>
      </c>
      <c r="L39" s="71"/>
      <c r="M39" s="73"/>
      <c r="N39" s="65" t="str">
        <f t="shared" si="2"/>
        <v/>
      </c>
      <c r="O39" s="66"/>
      <c r="P39" s="59"/>
      <c r="Q39" s="66"/>
      <c r="R39" s="70"/>
      <c r="S39" s="67" t="str">
        <f t="shared" ca="1" si="3"/>
        <v>Görüşülecek - Hedef tarih yok</v>
      </c>
      <c r="T39" s="68"/>
    </row>
    <row r="40" spans="1:20" ht="54.75" customHeight="1">
      <c r="A40" s="60"/>
      <c r="B40" s="61"/>
      <c r="C40" s="62"/>
      <c r="D40" s="63"/>
      <c r="E40" s="47"/>
      <c r="F40" s="76"/>
      <c r="G40" s="108"/>
      <c r="H40" s="108"/>
      <c r="I40" s="108"/>
      <c r="J40" s="108">
        <f t="shared" ref="J40:J62" si="4">G40*H40*I40</f>
        <v>0</v>
      </c>
      <c r="K40" s="64" t="str">
        <f t="shared" ref="K40:K62" si="5">IF(J40&gt;=400, "TOLERE EDİLEMEZ RİSK",IF(AND(J40&gt;=200, J40&lt;400),"YÜKSEK RİSK",IF(AND(J40&gt;=70, J40&lt;200),"ÖNEMLİ RİSK",IF(AND(J40&gt;=20, J40&lt;70),"OLASI RİSK",IF(AND(J40&lt;20, J40&gt;0), "DÜŞÜK RİSK","")))))</f>
        <v/>
      </c>
      <c r="L40" s="71"/>
      <c r="M40" s="73"/>
      <c r="N40" s="65" t="str">
        <f t="shared" ref="N40:N62" si="6">IF(J40&gt;=400,C40+7,IF(AND(J40&gt;=200,J40&lt;400),C40+30,IF(AND(J40&gt;=70,J40&lt;200),C40+180,IF(AND(J40&gt;=20,J40&lt;70),C40+365,IF(AND(J40&lt;20, J40&gt;0),"KONTROL","")))))</f>
        <v/>
      </c>
      <c r="O40" s="66"/>
      <c r="P40" s="59"/>
      <c r="Q40" s="66"/>
      <c r="R40" s="70"/>
      <c r="S40" s="67" t="str">
        <f t="shared" ref="S40:S62" ca="1" si="7">IF(CELL("tür",Q40)="d","Tamamlanan",IF(AND(N40="",O40="",Q40=""),"Görüşülecek - Hedef tarih yok",IF(AND(OR(N40&gt;$L$2,O40&gt;$L$2),CELL("tür",Q40)="b"),"Zaman Var",IF(AND(N40&lt;=$L$2,O40&lt;=$L$2,CELL("tür",Q40)="b"),"Hedef Tarihi Geçen"))))</f>
        <v>Görüşülecek - Hedef tarih yok</v>
      </c>
      <c r="T40" s="68"/>
    </row>
    <row r="41" spans="1:20" ht="54.75" customHeight="1">
      <c r="A41" s="60"/>
      <c r="B41" s="61"/>
      <c r="C41" s="62"/>
      <c r="D41" s="63"/>
      <c r="E41" s="47"/>
      <c r="F41" s="76"/>
      <c r="G41" s="108"/>
      <c r="H41" s="108"/>
      <c r="I41" s="108"/>
      <c r="J41" s="108">
        <f t="shared" si="4"/>
        <v>0</v>
      </c>
      <c r="K41" s="64" t="str">
        <f t="shared" si="5"/>
        <v/>
      </c>
      <c r="L41" s="71"/>
      <c r="M41" s="73"/>
      <c r="N41" s="65" t="str">
        <f t="shared" si="6"/>
        <v/>
      </c>
      <c r="O41" s="66"/>
      <c r="P41" s="59"/>
      <c r="Q41" s="66"/>
      <c r="R41" s="70"/>
      <c r="S41" s="67" t="str">
        <f t="shared" ca="1" si="7"/>
        <v>Görüşülecek - Hedef tarih yok</v>
      </c>
      <c r="T41" s="68"/>
    </row>
    <row r="42" spans="1:20" ht="54.75" customHeight="1">
      <c r="A42" s="60"/>
      <c r="B42" s="61"/>
      <c r="C42" s="62"/>
      <c r="D42" s="63"/>
      <c r="E42" s="47"/>
      <c r="F42" s="76"/>
      <c r="G42" s="108"/>
      <c r="H42" s="108"/>
      <c r="I42" s="108"/>
      <c r="J42" s="108">
        <f t="shared" si="4"/>
        <v>0</v>
      </c>
      <c r="K42" s="64" t="str">
        <f t="shared" si="5"/>
        <v/>
      </c>
      <c r="L42" s="71"/>
      <c r="M42" s="73"/>
      <c r="N42" s="65" t="str">
        <f t="shared" si="6"/>
        <v/>
      </c>
      <c r="O42" s="66"/>
      <c r="P42" s="59"/>
      <c r="Q42" s="66"/>
      <c r="R42" s="70"/>
      <c r="S42" s="67" t="str">
        <f t="shared" ca="1" si="7"/>
        <v>Görüşülecek - Hedef tarih yok</v>
      </c>
      <c r="T42" s="68"/>
    </row>
    <row r="43" spans="1:20" ht="62.25" customHeight="1">
      <c r="A43" s="60"/>
      <c r="B43" s="61"/>
      <c r="C43" s="62"/>
      <c r="D43" s="63"/>
      <c r="E43" s="47"/>
      <c r="F43" s="76"/>
      <c r="G43" s="108"/>
      <c r="H43" s="108"/>
      <c r="I43" s="108"/>
      <c r="J43" s="108">
        <f t="shared" si="4"/>
        <v>0</v>
      </c>
      <c r="K43" s="64" t="str">
        <f t="shared" si="5"/>
        <v/>
      </c>
      <c r="L43" s="71"/>
      <c r="M43" s="73"/>
      <c r="N43" s="65" t="str">
        <f t="shared" si="6"/>
        <v/>
      </c>
      <c r="O43" s="66"/>
      <c r="P43" s="59"/>
      <c r="Q43" s="66"/>
      <c r="R43" s="70"/>
      <c r="S43" s="67" t="str">
        <f t="shared" ca="1" si="7"/>
        <v>Görüşülecek - Hedef tarih yok</v>
      </c>
      <c r="T43" s="68"/>
    </row>
    <row r="44" spans="1:20" ht="54.75" customHeight="1">
      <c r="A44" s="60"/>
      <c r="B44" s="61"/>
      <c r="C44" s="62"/>
      <c r="D44" s="63"/>
      <c r="E44" s="47"/>
      <c r="F44" s="76"/>
      <c r="G44" s="108"/>
      <c r="H44" s="108"/>
      <c r="I44" s="108"/>
      <c r="J44" s="108">
        <f t="shared" si="4"/>
        <v>0</v>
      </c>
      <c r="K44" s="64" t="str">
        <f t="shared" si="5"/>
        <v/>
      </c>
      <c r="L44" s="71"/>
      <c r="M44" s="73"/>
      <c r="N44" s="65" t="str">
        <f t="shared" si="6"/>
        <v/>
      </c>
      <c r="O44" s="66"/>
      <c r="P44" s="59"/>
      <c r="Q44" s="66"/>
      <c r="R44" s="70"/>
      <c r="S44" s="67" t="str">
        <f t="shared" ca="1" si="7"/>
        <v>Görüşülecek - Hedef tarih yok</v>
      </c>
      <c r="T44" s="68"/>
    </row>
    <row r="45" spans="1:20" ht="54.75" customHeight="1">
      <c r="A45" s="60"/>
      <c r="B45" s="61"/>
      <c r="C45" s="62"/>
      <c r="D45" s="63"/>
      <c r="E45" s="47"/>
      <c r="F45" s="76"/>
      <c r="G45" s="108"/>
      <c r="H45" s="108"/>
      <c r="I45" s="108"/>
      <c r="J45" s="108">
        <f t="shared" si="4"/>
        <v>0</v>
      </c>
      <c r="K45" s="64" t="str">
        <f t="shared" si="5"/>
        <v/>
      </c>
      <c r="L45" s="71"/>
      <c r="M45" s="73"/>
      <c r="N45" s="65" t="str">
        <f t="shared" si="6"/>
        <v/>
      </c>
      <c r="O45" s="66"/>
      <c r="P45" s="59"/>
      <c r="Q45" s="123"/>
      <c r="R45" s="70"/>
      <c r="S45" s="67" t="str">
        <f t="shared" ca="1" si="7"/>
        <v>Görüşülecek - Hedef tarih yok</v>
      </c>
      <c r="T45" s="68"/>
    </row>
    <row r="46" spans="1:20" ht="54.75" customHeight="1">
      <c r="A46" s="60"/>
      <c r="B46" s="61"/>
      <c r="C46" s="62"/>
      <c r="D46" s="63"/>
      <c r="E46" s="47"/>
      <c r="F46" s="76"/>
      <c r="G46" s="108"/>
      <c r="H46" s="108"/>
      <c r="I46" s="108"/>
      <c r="J46" s="108">
        <f t="shared" si="4"/>
        <v>0</v>
      </c>
      <c r="K46" s="64" t="str">
        <f t="shared" si="5"/>
        <v/>
      </c>
      <c r="L46" s="71"/>
      <c r="M46" s="73"/>
      <c r="N46" s="65" t="str">
        <f t="shared" si="6"/>
        <v/>
      </c>
      <c r="O46" s="66"/>
      <c r="P46" s="59"/>
      <c r="Q46" s="66"/>
      <c r="R46" s="70"/>
      <c r="S46" s="67" t="str">
        <f t="shared" ca="1" si="7"/>
        <v>Görüşülecek - Hedef tarih yok</v>
      </c>
      <c r="T46" s="68"/>
    </row>
    <row r="47" spans="1:20" ht="54.75" customHeight="1">
      <c r="A47" s="60"/>
      <c r="B47" s="61"/>
      <c r="C47" s="62"/>
      <c r="D47" s="63"/>
      <c r="E47" s="47"/>
      <c r="F47" s="76"/>
      <c r="G47" s="108"/>
      <c r="H47" s="108"/>
      <c r="I47" s="108"/>
      <c r="J47" s="108">
        <f t="shared" si="4"/>
        <v>0</v>
      </c>
      <c r="K47" s="64" t="str">
        <f t="shared" si="5"/>
        <v/>
      </c>
      <c r="L47" s="71"/>
      <c r="M47" s="73"/>
      <c r="N47" s="65" t="str">
        <f t="shared" si="6"/>
        <v/>
      </c>
      <c r="O47" s="66"/>
      <c r="P47" s="59"/>
      <c r="Q47" s="66"/>
      <c r="R47" s="70"/>
      <c r="S47" s="67" t="str">
        <f t="shared" ca="1" si="7"/>
        <v>Görüşülecek - Hedef tarih yok</v>
      </c>
      <c r="T47" s="68"/>
    </row>
    <row r="48" spans="1:20" ht="54.75" customHeight="1">
      <c r="A48" s="60"/>
      <c r="B48" s="61"/>
      <c r="C48" s="62"/>
      <c r="D48" s="63"/>
      <c r="E48" s="47"/>
      <c r="F48" s="76"/>
      <c r="G48" s="108"/>
      <c r="H48" s="108"/>
      <c r="I48" s="108"/>
      <c r="J48" s="108">
        <f t="shared" si="4"/>
        <v>0</v>
      </c>
      <c r="K48" s="64" t="str">
        <f t="shared" si="5"/>
        <v/>
      </c>
      <c r="L48" s="71"/>
      <c r="M48" s="73"/>
      <c r="N48" s="65" t="str">
        <f t="shared" si="6"/>
        <v/>
      </c>
      <c r="O48" s="66"/>
      <c r="P48" s="59"/>
      <c r="Q48" s="66"/>
      <c r="R48" s="70"/>
      <c r="S48" s="67" t="str">
        <f t="shared" ca="1" si="7"/>
        <v>Görüşülecek - Hedef tarih yok</v>
      </c>
      <c r="T48" s="68"/>
    </row>
    <row r="49" spans="1:20" ht="54.75" customHeight="1">
      <c r="A49" s="60"/>
      <c r="B49" s="61"/>
      <c r="C49" s="62"/>
      <c r="D49" s="63"/>
      <c r="E49" s="47"/>
      <c r="F49" s="76"/>
      <c r="G49" s="108"/>
      <c r="H49" s="108"/>
      <c r="I49" s="108"/>
      <c r="J49" s="108">
        <f t="shared" si="4"/>
        <v>0</v>
      </c>
      <c r="K49" s="64" t="str">
        <f t="shared" si="5"/>
        <v/>
      </c>
      <c r="L49" s="71"/>
      <c r="M49" s="73"/>
      <c r="N49" s="65" t="str">
        <f t="shared" si="6"/>
        <v/>
      </c>
      <c r="O49" s="66"/>
      <c r="P49" s="59"/>
      <c r="Q49" s="66"/>
      <c r="R49" s="70"/>
      <c r="S49" s="67" t="str">
        <f t="shared" ca="1" si="7"/>
        <v>Görüşülecek - Hedef tarih yok</v>
      </c>
      <c r="T49" s="68"/>
    </row>
    <row r="50" spans="1:20" ht="54.75" customHeight="1">
      <c r="A50" s="60"/>
      <c r="B50" s="61"/>
      <c r="C50" s="62"/>
      <c r="D50" s="63"/>
      <c r="E50" s="47"/>
      <c r="F50" s="76"/>
      <c r="G50" s="108"/>
      <c r="H50" s="108"/>
      <c r="I50" s="108"/>
      <c r="J50" s="108">
        <f t="shared" si="4"/>
        <v>0</v>
      </c>
      <c r="K50" s="64" t="str">
        <f t="shared" si="5"/>
        <v/>
      </c>
      <c r="L50" s="71"/>
      <c r="M50" s="73"/>
      <c r="N50" s="65" t="str">
        <f t="shared" si="6"/>
        <v/>
      </c>
      <c r="O50" s="66"/>
      <c r="P50" s="59"/>
      <c r="Q50" s="66"/>
      <c r="R50" s="70"/>
      <c r="S50" s="67" t="str">
        <f t="shared" ca="1" si="7"/>
        <v>Görüşülecek - Hedef tarih yok</v>
      </c>
      <c r="T50" s="68"/>
    </row>
    <row r="51" spans="1:20" ht="54.75" customHeight="1">
      <c r="A51" s="60"/>
      <c r="B51" s="61"/>
      <c r="C51" s="62"/>
      <c r="D51" s="63"/>
      <c r="E51" s="47"/>
      <c r="F51" s="76"/>
      <c r="G51" s="108"/>
      <c r="H51" s="108"/>
      <c r="I51" s="108"/>
      <c r="J51" s="108">
        <f t="shared" si="4"/>
        <v>0</v>
      </c>
      <c r="K51" s="64" t="str">
        <f t="shared" si="5"/>
        <v/>
      </c>
      <c r="L51" s="71"/>
      <c r="M51" s="73"/>
      <c r="N51" s="65" t="str">
        <f t="shared" si="6"/>
        <v/>
      </c>
      <c r="O51" s="66"/>
      <c r="P51" s="59"/>
      <c r="Q51" s="66"/>
      <c r="R51" s="70"/>
      <c r="S51" s="67" t="str">
        <f t="shared" ca="1" si="7"/>
        <v>Görüşülecek - Hedef tarih yok</v>
      </c>
      <c r="T51" s="68"/>
    </row>
    <row r="52" spans="1:20" ht="54.75" customHeight="1">
      <c r="A52" s="60"/>
      <c r="B52" s="61"/>
      <c r="C52" s="62"/>
      <c r="D52" s="63"/>
      <c r="E52" s="47"/>
      <c r="F52" s="76"/>
      <c r="G52" s="108"/>
      <c r="H52" s="108"/>
      <c r="I52" s="108"/>
      <c r="J52" s="108">
        <f t="shared" si="4"/>
        <v>0</v>
      </c>
      <c r="K52" s="64" t="str">
        <f t="shared" si="5"/>
        <v/>
      </c>
      <c r="L52" s="71"/>
      <c r="M52" s="73"/>
      <c r="N52" s="65" t="str">
        <f t="shared" si="6"/>
        <v/>
      </c>
      <c r="O52" s="66"/>
      <c r="P52" s="59"/>
      <c r="Q52" s="66"/>
      <c r="R52" s="70"/>
      <c r="S52" s="67" t="str">
        <f t="shared" ca="1" si="7"/>
        <v>Görüşülecek - Hedef tarih yok</v>
      </c>
      <c r="T52" s="68"/>
    </row>
    <row r="53" spans="1:20" ht="54.75" customHeight="1">
      <c r="A53" s="60"/>
      <c r="B53" s="61"/>
      <c r="C53" s="62"/>
      <c r="D53" s="63"/>
      <c r="E53" s="47"/>
      <c r="F53" s="76"/>
      <c r="G53" s="108"/>
      <c r="H53" s="108"/>
      <c r="I53" s="108"/>
      <c r="J53" s="108">
        <f t="shared" si="4"/>
        <v>0</v>
      </c>
      <c r="K53" s="64" t="str">
        <f t="shared" si="5"/>
        <v/>
      </c>
      <c r="L53" s="71"/>
      <c r="M53" s="73"/>
      <c r="N53" s="65" t="str">
        <f t="shared" si="6"/>
        <v/>
      </c>
      <c r="O53" s="66"/>
      <c r="P53" s="59"/>
      <c r="Q53" s="66"/>
      <c r="R53" s="70"/>
      <c r="S53" s="67" t="str">
        <f t="shared" ca="1" si="7"/>
        <v>Görüşülecek - Hedef tarih yok</v>
      </c>
      <c r="T53" s="68"/>
    </row>
    <row r="54" spans="1:20" ht="54.75" customHeight="1">
      <c r="A54" s="60"/>
      <c r="B54" s="61"/>
      <c r="C54" s="62"/>
      <c r="D54" s="63"/>
      <c r="E54" s="47"/>
      <c r="F54" s="76"/>
      <c r="G54" s="108"/>
      <c r="H54" s="108"/>
      <c r="I54" s="108"/>
      <c r="J54" s="108">
        <f t="shared" si="4"/>
        <v>0</v>
      </c>
      <c r="K54" s="64" t="str">
        <f t="shared" si="5"/>
        <v/>
      </c>
      <c r="L54" s="71"/>
      <c r="M54" s="73"/>
      <c r="N54" s="65" t="str">
        <f t="shared" si="6"/>
        <v/>
      </c>
      <c r="O54" s="66"/>
      <c r="P54" s="59"/>
      <c r="Q54" s="66"/>
      <c r="R54" s="70"/>
      <c r="S54" s="67" t="str">
        <f t="shared" ca="1" si="7"/>
        <v>Görüşülecek - Hedef tarih yok</v>
      </c>
      <c r="T54" s="68"/>
    </row>
    <row r="55" spans="1:20" ht="54.75" customHeight="1">
      <c r="A55" s="60"/>
      <c r="B55" s="61"/>
      <c r="C55" s="62"/>
      <c r="D55" s="63"/>
      <c r="E55" s="47"/>
      <c r="F55" s="76"/>
      <c r="G55" s="108"/>
      <c r="H55" s="108"/>
      <c r="I55" s="108"/>
      <c r="J55" s="108">
        <f t="shared" si="4"/>
        <v>0</v>
      </c>
      <c r="K55" s="64" t="str">
        <f t="shared" si="5"/>
        <v/>
      </c>
      <c r="L55" s="71"/>
      <c r="M55" s="73"/>
      <c r="N55" s="65" t="str">
        <f t="shared" si="6"/>
        <v/>
      </c>
      <c r="O55" s="66"/>
      <c r="P55" s="59"/>
      <c r="Q55" s="66"/>
      <c r="R55" s="70"/>
      <c r="S55" s="67" t="str">
        <f t="shared" ca="1" si="7"/>
        <v>Görüşülecek - Hedef tarih yok</v>
      </c>
      <c r="T55" s="68"/>
    </row>
    <row r="56" spans="1:20" ht="54.75" customHeight="1">
      <c r="A56" s="60"/>
      <c r="B56" s="61"/>
      <c r="C56" s="62"/>
      <c r="D56" s="63"/>
      <c r="E56" s="47"/>
      <c r="F56" s="76"/>
      <c r="G56" s="108"/>
      <c r="H56" s="108"/>
      <c r="I56" s="108"/>
      <c r="J56" s="108">
        <f t="shared" si="4"/>
        <v>0</v>
      </c>
      <c r="K56" s="64" t="str">
        <f t="shared" si="5"/>
        <v/>
      </c>
      <c r="L56" s="71"/>
      <c r="M56" s="73"/>
      <c r="N56" s="65" t="str">
        <f t="shared" si="6"/>
        <v/>
      </c>
      <c r="O56" s="66"/>
      <c r="P56" s="59"/>
      <c r="Q56" s="66"/>
      <c r="R56" s="70"/>
      <c r="S56" s="67" t="str">
        <f t="shared" ca="1" si="7"/>
        <v>Görüşülecek - Hedef tarih yok</v>
      </c>
      <c r="T56" s="68"/>
    </row>
    <row r="57" spans="1:20" ht="54.75" customHeight="1">
      <c r="A57" s="60"/>
      <c r="B57" s="61"/>
      <c r="C57" s="62"/>
      <c r="D57" s="63"/>
      <c r="E57" s="47"/>
      <c r="F57" s="76"/>
      <c r="G57" s="108"/>
      <c r="H57" s="108"/>
      <c r="I57" s="108"/>
      <c r="J57" s="108">
        <f t="shared" si="4"/>
        <v>0</v>
      </c>
      <c r="K57" s="64" t="str">
        <f t="shared" si="5"/>
        <v/>
      </c>
      <c r="L57" s="71"/>
      <c r="M57" s="73"/>
      <c r="N57" s="65" t="str">
        <f t="shared" si="6"/>
        <v/>
      </c>
      <c r="O57" s="66"/>
      <c r="P57" s="59"/>
      <c r="Q57" s="66"/>
      <c r="R57" s="70"/>
      <c r="S57" s="67" t="str">
        <f t="shared" ca="1" si="7"/>
        <v>Görüşülecek - Hedef tarih yok</v>
      </c>
      <c r="T57" s="68"/>
    </row>
    <row r="58" spans="1:20" ht="54.75" customHeight="1">
      <c r="A58" s="60"/>
      <c r="B58" s="61"/>
      <c r="C58" s="62"/>
      <c r="D58" s="63"/>
      <c r="E58" s="47"/>
      <c r="F58" s="76"/>
      <c r="G58" s="108"/>
      <c r="H58" s="108"/>
      <c r="I58" s="108"/>
      <c r="J58" s="108">
        <f t="shared" si="4"/>
        <v>0</v>
      </c>
      <c r="K58" s="64" t="str">
        <f t="shared" si="5"/>
        <v/>
      </c>
      <c r="L58" s="71"/>
      <c r="M58" s="73"/>
      <c r="N58" s="65" t="str">
        <f t="shared" si="6"/>
        <v/>
      </c>
      <c r="O58" s="66"/>
      <c r="P58" s="59"/>
      <c r="Q58" s="66"/>
      <c r="R58" s="70"/>
      <c r="S58" s="67" t="str">
        <f t="shared" ca="1" si="7"/>
        <v>Görüşülecek - Hedef tarih yok</v>
      </c>
      <c r="T58" s="68"/>
    </row>
    <row r="59" spans="1:20" ht="54.75" customHeight="1">
      <c r="A59" s="60"/>
      <c r="B59" s="61"/>
      <c r="C59" s="62"/>
      <c r="D59" s="63"/>
      <c r="E59" s="47"/>
      <c r="F59" s="76"/>
      <c r="G59" s="108"/>
      <c r="H59" s="108"/>
      <c r="I59" s="108"/>
      <c r="J59" s="108">
        <f t="shared" si="4"/>
        <v>0</v>
      </c>
      <c r="K59" s="64" t="str">
        <f t="shared" si="5"/>
        <v/>
      </c>
      <c r="L59" s="71"/>
      <c r="M59" s="73"/>
      <c r="N59" s="65" t="str">
        <f t="shared" si="6"/>
        <v/>
      </c>
      <c r="O59" s="66"/>
      <c r="P59" s="59"/>
      <c r="Q59" s="66"/>
      <c r="R59" s="70"/>
      <c r="S59" s="67" t="str">
        <f t="shared" ca="1" si="7"/>
        <v>Görüşülecek - Hedef tarih yok</v>
      </c>
      <c r="T59" s="68"/>
    </row>
    <row r="60" spans="1:20" ht="54.75" customHeight="1">
      <c r="A60" s="60"/>
      <c r="B60" s="61"/>
      <c r="C60" s="62"/>
      <c r="D60" s="63"/>
      <c r="E60" s="47"/>
      <c r="F60" s="76"/>
      <c r="G60" s="108"/>
      <c r="H60" s="108"/>
      <c r="I60" s="108"/>
      <c r="J60" s="108">
        <f t="shared" si="4"/>
        <v>0</v>
      </c>
      <c r="K60" s="64" t="str">
        <f t="shared" si="5"/>
        <v/>
      </c>
      <c r="L60" s="71"/>
      <c r="M60" s="73"/>
      <c r="N60" s="65" t="str">
        <f t="shared" si="6"/>
        <v/>
      </c>
      <c r="O60" s="66"/>
      <c r="P60" s="59"/>
      <c r="Q60" s="66"/>
      <c r="R60" s="70"/>
      <c r="S60" s="67" t="str">
        <f t="shared" ca="1" si="7"/>
        <v>Görüşülecek - Hedef tarih yok</v>
      </c>
      <c r="T60" s="68"/>
    </row>
    <row r="61" spans="1:20" ht="54.75" customHeight="1">
      <c r="A61" s="60"/>
      <c r="B61" s="61"/>
      <c r="C61" s="62"/>
      <c r="D61" s="63"/>
      <c r="E61" s="47"/>
      <c r="F61" s="76"/>
      <c r="G61" s="108"/>
      <c r="H61" s="108"/>
      <c r="I61" s="108"/>
      <c r="J61" s="108">
        <f t="shared" si="4"/>
        <v>0</v>
      </c>
      <c r="K61" s="64" t="str">
        <f t="shared" si="5"/>
        <v/>
      </c>
      <c r="L61" s="71"/>
      <c r="M61" s="73"/>
      <c r="N61" s="65" t="str">
        <f t="shared" si="6"/>
        <v/>
      </c>
      <c r="O61" s="66"/>
      <c r="P61" s="59"/>
      <c r="Q61" s="66"/>
      <c r="R61" s="70"/>
      <c r="S61" s="67" t="str">
        <f t="shared" ca="1" si="7"/>
        <v>Görüşülecek - Hedef tarih yok</v>
      </c>
      <c r="T61" s="68"/>
    </row>
    <row r="62" spans="1:20" ht="60.75" customHeight="1">
      <c r="A62" s="60"/>
      <c r="B62" s="61"/>
      <c r="C62" s="62"/>
      <c r="D62" s="63"/>
      <c r="E62" s="47"/>
      <c r="F62" s="76"/>
      <c r="G62" s="108"/>
      <c r="H62" s="108"/>
      <c r="I62" s="108"/>
      <c r="J62" s="108">
        <f t="shared" si="4"/>
        <v>0</v>
      </c>
      <c r="K62" s="64" t="str">
        <f t="shared" si="5"/>
        <v/>
      </c>
      <c r="L62" s="71"/>
      <c r="M62" s="73"/>
      <c r="N62" s="65" t="str">
        <f t="shared" si="6"/>
        <v/>
      </c>
      <c r="O62" s="66"/>
      <c r="P62" s="59"/>
      <c r="Q62" s="66"/>
      <c r="R62" s="70"/>
      <c r="S62" s="67" t="str">
        <f t="shared" ca="1" si="7"/>
        <v>Görüşülecek - Hedef tarih yok</v>
      </c>
      <c r="T62" s="68"/>
    </row>
    <row r="63" spans="1:20" ht="54.75" customHeight="1">
      <c r="A63" s="60"/>
      <c r="B63" s="61"/>
      <c r="C63" s="62"/>
      <c r="D63" s="63"/>
      <c r="E63" s="47"/>
      <c r="F63" s="76"/>
      <c r="G63" s="108"/>
      <c r="H63" s="108"/>
      <c r="I63" s="108"/>
      <c r="J63" s="108">
        <f t="shared" ref="J63:J67" si="8">G63*H63*I63</f>
        <v>0</v>
      </c>
      <c r="K63" s="64" t="str">
        <f t="shared" ref="K63:K67" si="9">IF(J63&gt;=400, "TOLERE EDİLEMEZ RİSK",IF(AND(J63&gt;=200, J63&lt;400),"YÜKSEK RİSK",IF(AND(J63&gt;=70, J63&lt;200),"ÖNEMLİ RİSK",IF(AND(J63&gt;=20, J63&lt;70),"OLASI RİSK",IF(AND(J63&lt;20, J63&gt;0), "DÜŞÜK RİSK","")))))</f>
        <v/>
      </c>
      <c r="L63" s="71"/>
      <c r="M63" s="73"/>
      <c r="N63" s="65" t="str">
        <f>IF(J63&gt;=400,C63+7,IF(AND(J63&gt;=200,J63&lt;400),C63+30,IF(AND(J63&gt;=70,J63&lt;200),C63+180,IF(AND(J63&gt;=20,J63&lt;70),C63+365,IF(AND(J63&lt;20, J63&gt;0),"KONTROL","")))))</f>
        <v/>
      </c>
      <c r="O63" s="66"/>
      <c r="P63" s="59"/>
      <c r="Q63" s="66"/>
      <c r="R63" s="70"/>
      <c r="S63" s="67"/>
      <c r="T63" s="68"/>
    </row>
    <row r="64" spans="1:20" ht="54.75" customHeight="1">
      <c r="A64" s="60"/>
      <c r="B64" s="61"/>
      <c r="C64" s="62"/>
      <c r="D64" s="63"/>
      <c r="E64" s="47"/>
      <c r="F64" s="76"/>
      <c r="G64" s="108"/>
      <c r="H64" s="108"/>
      <c r="I64" s="108"/>
      <c r="J64" s="108">
        <f t="shared" si="8"/>
        <v>0</v>
      </c>
      <c r="K64" s="64" t="str">
        <f t="shared" si="9"/>
        <v/>
      </c>
      <c r="L64" s="71"/>
      <c r="M64" s="73"/>
      <c r="N64" s="65" t="str">
        <f>IF(J64&gt;=400,C64+7,IF(AND(J64&gt;=200,J64&lt;400),C64+30,IF(AND(J64&gt;=70,J64&lt;200),C64+180,IF(AND(J64&gt;=20,J64&lt;70),C64+365,IF(AND(J64&lt;20, J64&gt;0),"KONTROL","")))))</f>
        <v/>
      </c>
      <c r="O64" s="66"/>
      <c r="P64" s="59"/>
      <c r="Q64" s="66"/>
      <c r="R64" s="70"/>
      <c r="S64" s="67"/>
      <c r="T64" s="68"/>
    </row>
    <row r="65" spans="1:20" ht="54.75" customHeight="1">
      <c r="A65" s="60">
        <v>58</v>
      </c>
      <c r="B65" s="61"/>
      <c r="C65" s="62"/>
      <c r="D65" s="63"/>
      <c r="E65" s="47"/>
      <c r="F65" s="76"/>
      <c r="G65" s="108"/>
      <c r="H65" s="108"/>
      <c r="I65" s="108"/>
      <c r="J65" s="108">
        <f t="shared" si="8"/>
        <v>0</v>
      </c>
      <c r="K65" s="64" t="str">
        <f t="shared" si="9"/>
        <v/>
      </c>
      <c r="L65" s="71"/>
      <c r="M65" s="73"/>
      <c r="N65" s="65" t="str">
        <f>IF(J65&gt;=400,C65+7,IF(AND(J65&gt;=200,J65&lt;400),C65+30,IF(AND(J65&gt;=70,J65&lt;200),C65+180,IF(AND(J65&gt;=20,J65&lt;70),C65+365,IF(AND(J65&lt;20, J65&gt;0),"KONTROL","")))))</f>
        <v/>
      </c>
      <c r="O65" s="66"/>
      <c r="P65" s="59"/>
      <c r="Q65" s="66"/>
      <c r="R65" s="70"/>
      <c r="S65" s="67"/>
      <c r="T65" s="68"/>
    </row>
    <row r="66" spans="1:20" ht="54.75" customHeight="1">
      <c r="A66" s="60">
        <v>59</v>
      </c>
      <c r="B66" s="61"/>
      <c r="C66" s="62"/>
      <c r="D66" s="63"/>
      <c r="E66" s="47"/>
      <c r="F66" s="76"/>
      <c r="G66" s="108"/>
      <c r="H66" s="108"/>
      <c r="I66" s="108"/>
      <c r="J66" s="108">
        <f t="shared" si="8"/>
        <v>0</v>
      </c>
      <c r="K66" s="64" t="str">
        <f t="shared" si="9"/>
        <v/>
      </c>
      <c r="L66" s="71"/>
      <c r="M66" s="73"/>
      <c r="N66" s="65" t="str">
        <f>IF(J66&gt;=400,C66+7,IF(AND(J66&gt;=200,J66&lt;400),C66+30,IF(AND(J66&gt;=70,J66&lt;200),C66+180,IF(AND(J66&gt;=20,J66&lt;70),C66+365,IF(AND(J66&lt;20, J66&gt;0),"KONTROL","")))))</f>
        <v/>
      </c>
      <c r="O66" s="66"/>
      <c r="P66" s="59"/>
      <c r="Q66" s="66"/>
      <c r="R66" s="70"/>
      <c r="S66" s="67"/>
      <c r="T66" s="68"/>
    </row>
    <row r="67" spans="1:20" ht="54.75" customHeight="1">
      <c r="A67" s="60">
        <v>60</v>
      </c>
      <c r="B67" s="61"/>
      <c r="C67" s="62"/>
      <c r="D67" s="63"/>
      <c r="E67" s="47"/>
      <c r="F67" s="76"/>
      <c r="G67" s="108"/>
      <c r="H67" s="108"/>
      <c r="I67" s="108"/>
      <c r="J67" s="108">
        <f t="shared" si="8"/>
        <v>0</v>
      </c>
      <c r="K67" s="64" t="str">
        <f t="shared" si="9"/>
        <v/>
      </c>
      <c r="L67" s="71"/>
      <c r="M67" s="73"/>
      <c r="N67" s="65" t="str">
        <f>IF(J67&gt;=400,C67+7,IF(AND(J67&gt;=200,J67&lt;400),C67+30,IF(AND(J67&gt;=70,J67&lt;200),C67+180,IF(AND(J67&gt;=20,J67&lt;70),C67+365,IF(AND(J67&lt;20, J67&gt;0),"KONTROL","")))))</f>
        <v/>
      </c>
      <c r="O67" s="66"/>
      <c r="P67" s="59"/>
      <c r="Q67" s="66"/>
      <c r="R67" s="70"/>
      <c r="S67" s="67"/>
      <c r="T67" s="68"/>
    </row>
    <row r="68" spans="1:20" ht="17.25" customHeight="1">
      <c r="T68" s="68"/>
    </row>
    <row r="69" spans="1:20">
      <c r="T69" s="68"/>
    </row>
    <row r="70" spans="1:20">
      <c r="R70" s="122"/>
      <c r="T70" s="68"/>
    </row>
    <row r="71" spans="1:20">
      <c r="T71" s="68"/>
    </row>
    <row r="72" spans="1:20">
      <c r="T72" s="68"/>
    </row>
    <row r="73" spans="1:20">
      <c r="T73" s="68"/>
    </row>
    <row r="74" spans="1:20">
      <c r="T74" s="68"/>
    </row>
    <row r="75" spans="1:20">
      <c r="T75" s="68"/>
    </row>
    <row r="76" spans="1:20">
      <c r="T76" s="68"/>
    </row>
    <row r="77" spans="1:20">
      <c r="T77" s="68"/>
    </row>
    <row r="78" spans="1:20">
      <c r="T78" s="68"/>
    </row>
    <row r="79" spans="1:20">
      <c r="T79" s="68"/>
    </row>
    <row r="80" spans="1:20">
      <c r="T80" s="68"/>
    </row>
    <row r="81" spans="20:20">
      <c r="T81" s="68"/>
    </row>
    <row r="82" spans="20:20">
      <c r="T82" s="68"/>
    </row>
    <row r="83" spans="20:20">
      <c r="T83" s="68"/>
    </row>
    <row r="84" spans="20:20">
      <c r="T84" s="68"/>
    </row>
    <row r="85" spans="20:20">
      <c r="T85" s="68"/>
    </row>
    <row r="86" spans="20:20">
      <c r="T86" s="68"/>
    </row>
    <row r="87" spans="20:20">
      <c r="T87" s="68"/>
    </row>
    <row r="88" spans="20:20">
      <c r="T88" s="68"/>
    </row>
    <row r="89" spans="20:20">
      <c r="T89" s="68"/>
    </row>
    <row r="90" spans="20:20">
      <c r="T90" s="68"/>
    </row>
    <row r="91" spans="20:20">
      <c r="T91" s="68"/>
    </row>
    <row r="92" spans="20:20">
      <c r="T92" s="68"/>
    </row>
    <row r="93" spans="20:20">
      <c r="T93" s="68"/>
    </row>
    <row r="94" spans="20:20">
      <c r="T94" s="68"/>
    </row>
    <row r="95" spans="20:20">
      <c r="T95" s="68"/>
    </row>
    <row r="96" spans="20:20">
      <c r="T96" s="68"/>
    </row>
    <row r="97" spans="20:20">
      <c r="T97" s="68"/>
    </row>
    <row r="98" spans="20:20">
      <c r="T98" s="68"/>
    </row>
    <row r="99" spans="20:20">
      <c r="T99" s="68"/>
    </row>
    <row r="100" spans="20:20">
      <c r="T100" s="68"/>
    </row>
    <row r="101" spans="20:20">
      <c r="T101" s="68"/>
    </row>
    <row r="102" spans="20:20">
      <c r="T102" s="68"/>
    </row>
    <row r="103" spans="20:20">
      <c r="T103" s="68"/>
    </row>
    <row r="104" spans="20:20">
      <c r="T104" s="68"/>
    </row>
    <row r="105" spans="20:20">
      <c r="T105" s="68"/>
    </row>
    <row r="106" spans="20:20">
      <c r="T106" s="68"/>
    </row>
    <row r="107" spans="20:20">
      <c r="T107" s="68"/>
    </row>
    <row r="108" spans="20:20">
      <c r="T108" s="68"/>
    </row>
    <row r="109" spans="20:20">
      <c r="T109" s="68"/>
    </row>
    <row r="110" spans="20:20">
      <c r="T110" s="68"/>
    </row>
    <row r="111" spans="20:20">
      <c r="T111" s="68"/>
    </row>
    <row r="112" spans="20:20">
      <c r="T112" s="68"/>
    </row>
    <row r="113" spans="20:20">
      <c r="T113" s="68"/>
    </row>
    <row r="114" spans="20:20">
      <c r="T114" s="68"/>
    </row>
    <row r="115" spans="20:20">
      <c r="T115" s="68"/>
    </row>
    <row r="116" spans="20:20">
      <c r="T116" s="68"/>
    </row>
    <row r="117" spans="20:20">
      <c r="T117" s="68"/>
    </row>
    <row r="118" spans="20:20">
      <c r="T118" s="68"/>
    </row>
    <row r="119" spans="20:20">
      <c r="T119" s="68"/>
    </row>
    <row r="120" spans="20:20">
      <c r="T120" s="68"/>
    </row>
    <row r="121" spans="20:20">
      <c r="T121" s="68"/>
    </row>
    <row r="122" spans="20:20">
      <c r="T122" s="68"/>
    </row>
    <row r="123" spans="20:20">
      <c r="T123" s="68"/>
    </row>
    <row r="124" spans="20:20">
      <c r="T124" s="68"/>
    </row>
    <row r="125" spans="20:20">
      <c r="T125" s="68"/>
    </row>
    <row r="126" spans="20:20">
      <c r="T126" s="68"/>
    </row>
    <row r="127" spans="20:20">
      <c r="T127" s="68"/>
    </row>
    <row r="128" spans="20:20">
      <c r="T128" s="68"/>
    </row>
    <row r="129" spans="20:20">
      <c r="T129" s="68"/>
    </row>
    <row r="130" spans="20:20">
      <c r="T130" s="68"/>
    </row>
    <row r="131" spans="20:20">
      <c r="T131" s="68"/>
    </row>
    <row r="132" spans="20:20">
      <c r="T132" s="68"/>
    </row>
    <row r="133" spans="20:20">
      <c r="T133" s="68"/>
    </row>
    <row r="134" spans="20:20">
      <c r="T134" s="68"/>
    </row>
    <row r="135" spans="20:20">
      <c r="T135" s="68"/>
    </row>
    <row r="136" spans="20:20">
      <c r="T136" s="68"/>
    </row>
    <row r="137" spans="20:20">
      <c r="T137" s="68"/>
    </row>
    <row r="138" spans="20:20">
      <c r="T138" s="68"/>
    </row>
    <row r="139" spans="20:20">
      <c r="T139" s="68"/>
    </row>
    <row r="140" spans="20:20">
      <c r="T140" s="68"/>
    </row>
    <row r="141" spans="20:20">
      <c r="T141" s="68"/>
    </row>
    <row r="142" spans="20:20">
      <c r="T142" s="68"/>
    </row>
    <row r="143" spans="20:20">
      <c r="T143" s="68"/>
    </row>
    <row r="144" spans="20:20">
      <c r="T144" s="68"/>
    </row>
    <row r="145" spans="20:20">
      <c r="T145" s="68"/>
    </row>
    <row r="146" spans="20:20">
      <c r="T146" s="68"/>
    </row>
    <row r="147" spans="20:20">
      <c r="T147" s="68"/>
    </row>
    <row r="148" spans="20:20">
      <c r="T148" s="68"/>
    </row>
    <row r="149" spans="20:20">
      <c r="T149" s="68"/>
    </row>
    <row r="150" spans="20:20">
      <c r="T150" s="68"/>
    </row>
    <row r="151" spans="20:20">
      <c r="T151" s="68"/>
    </row>
    <row r="152" spans="20:20">
      <c r="T152" s="68"/>
    </row>
    <row r="153" spans="20:20">
      <c r="T153" s="68"/>
    </row>
    <row r="154" spans="20:20">
      <c r="T154" s="68"/>
    </row>
    <row r="155" spans="20:20">
      <c r="T155" s="68"/>
    </row>
    <row r="156" spans="20:20">
      <c r="T156" s="68"/>
    </row>
    <row r="157" spans="20:20">
      <c r="T157" s="68"/>
    </row>
    <row r="158" spans="20:20">
      <c r="T158" s="68"/>
    </row>
    <row r="159" spans="20:20">
      <c r="T159" s="68"/>
    </row>
    <row r="160" spans="20:20">
      <c r="T160" s="68"/>
    </row>
    <row r="161" spans="20:20">
      <c r="T161" s="68"/>
    </row>
    <row r="162" spans="20:20">
      <c r="T162" s="68"/>
    </row>
    <row r="163" spans="20:20">
      <c r="T163" s="68"/>
    </row>
    <row r="164" spans="20:20">
      <c r="T164" s="68"/>
    </row>
    <row r="165" spans="20:20">
      <c r="T165" s="68"/>
    </row>
    <row r="166" spans="20:20">
      <c r="T166" s="68"/>
    </row>
    <row r="167" spans="20:20">
      <c r="T167" s="68"/>
    </row>
    <row r="168" spans="20:20">
      <c r="T168" s="68"/>
    </row>
    <row r="169" spans="20:20">
      <c r="T169" s="68"/>
    </row>
    <row r="170" spans="20:20">
      <c r="T170" s="68"/>
    </row>
    <row r="171" spans="20:20">
      <c r="T171" s="68"/>
    </row>
    <row r="172" spans="20:20">
      <c r="T172" s="68"/>
    </row>
    <row r="173" spans="20:20">
      <c r="T173" s="68"/>
    </row>
    <row r="174" spans="20:20">
      <c r="T174" s="68"/>
    </row>
    <row r="175" spans="20:20">
      <c r="T175" s="68"/>
    </row>
    <row r="176" spans="20:20">
      <c r="T176" s="68"/>
    </row>
    <row r="177" spans="20:20">
      <c r="T177" s="68"/>
    </row>
    <row r="178" spans="20:20">
      <c r="T178" s="68"/>
    </row>
    <row r="179" spans="20:20">
      <c r="T179" s="68"/>
    </row>
    <row r="180" spans="20:20">
      <c r="T180" s="68"/>
    </row>
  </sheetData>
  <autoFilter ref="A7:S67">
    <sortState ref="A8:S86">
      <sortCondition sortBy="cellColor" ref="K7:K86" dxfId="49"/>
    </sortState>
  </autoFilter>
  <dataConsolidate/>
  <mergeCells count="6">
    <mergeCell ref="M6:O6"/>
    <mergeCell ref="M1:O1"/>
    <mergeCell ref="M2:O2"/>
    <mergeCell ref="M3:O3"/>
    <mergeCell ref="M4:O4"/>
    <mergeCell ref="M5:O5"/>
  </mergeCells>
  <conditionalFormatting sqref="R15:R16 R18:R19 R8 R10:R12 R36:R37">
    <cfRule type="cellIs" dxfId="48" priority="83" stopIfTrue="1" operator="equal">
      <formula>"Hedef Tarih Geçti"</formula>
    </cfRule>
  </conditionalFormatting>
  <conditionalFormatting sqref="R7">
    <cfRule type="cellIs" dxfId="47" priority="82" stopIfTrue="1" operator="equal">
      <formula>"Hedef Tarih Geçti"</formula>
    </cfRule>
  </conditionalFormatting>
  <conditionalFormatting sqref="R17">
    <cfRule type="cellIs" dxfId="46" priority="81" stopIfTrue="1" operator="equal">
      <formula>"Hedef Tarih Geçti"</formula>
    </cfRule>
  </conditionalFormatting>
  <conditionalFormatting sqref="R20">
    <cfRule type="cellIs" dxfId="45" priority="80" stopIfTrue="1" operator="equal">
      <formula>"Hedef Tarih Geçti"</formula>
    </cfRule>
  </conditionalFormatting>
  <conditionalFormatting sqref="R21">
    <cfRule type="cellIs" dxfId="44" priority="79" stopIfTrue="1" operator="equal">
      <formula>"Hedef Tarih Geçti"</formula>
    </cfRule>
  </conditionalFormatting>
  <conditionalFormatting sqref="R23">
    <cfRule type="cellIs" dxfId="43" priority="77" stopIfTrue="1" operator="equal">
      <formula>"Hedef Tarih Geçti"</formula>
    </cfRule>
  </conditionalFormatting>
  <conditionalFormatting sqref="R24:R25">
    <cfRule type="cellIs" dxfId="42" priority="76" stopIfTrue="1" operator="equal">
      <formula>"Hedef Tarih Geçti"</formula>
    </cfRule>
  </conditionalFormatting>
  <conditionalFormatting sqref="R29">
    <cfRule type="cellIs" dxfId="41" priority="73" stopIfTrue="1" operator="equal">
      <formula>"Hedef Tarih Geçti"</formula>
    </cfRule>
  </conditionalFormatting>
  <conditionalFormatting sqref="R38">
    <cfRule type="cellIs" dxfId="40" priority="70" stopIfTrue="1" operator="equal">
      <formula>"Hedef Tarih Geçti"</formula>
    </cfRule>
  </conditionalFormatting>
  <conditionalFormatting sqref="R31:R35">
    <cfRule type="cellIs" dxfId="39" priority="71" stopIfTrue="1" operator="equal">
      <formula>"Hedef Tarih Geçti"</formula>
    </cfRule>
  </conditionalFormatting>
  <conditionalFormatting sqref="R39:R40 R53 R46 R42:R44 R49:R51">
    <cfRule type="cellIs" dxfId="38" priority="69" stopIfTrue="1" operator="equal">
      <formula>"Hedef Tarih Geçti"</formula>
    </cfRule>
  </conditionalFormatting>
  <conditionalFormatting sqref="R52">
    <cfRule type="cellIs" dxfId="37" priority="68" stopIfTrue="1" operator="equal">
      <formula>"Hedef Tarih Geçti"</formula>
    </cfRule>
  </conditionalFormatting>
  <conditionalFormatting sqref="R54">
    <cfRule type="cellIs" dxfId="36" priority="67" stopIfTrue="1" operator="equal">
      <formula>"Hedef Tarih Geçti"</formula>
    </cfRule>
  </conditionalFormatting>
  <conditionalFormatting sqref="R55">
    <cfRule type="cellIs" dxfId="35" priority="66" stopIfTrue="1" operator="equal">
      <formula>"Hedef Tarih Geçti"</formula>
    </cfRule>
  </conditionalFormatting>
  <conditionalFormatting sqref="R56">
    <cfRule type="cellIs" dxfId="34" priority="65" stopIfTrue="1" operator="equal">
      <formula>"Hedef Tarih Geçti"</formula>
    </cfRule>
  </conditionalFormatting>
  <conditionalFormatting sqref="R57">
    <cfRule type="cellIs" dxfId="33" priority="64" stopIfTrue="1" operator="equal">
      <formula>"Hedef Tarih Geçti"</formula>
    </cfRule>
  </conditionalFormatting>
  <conditionalFormatting sqref="R58">
    <cfRule type="cellIs" dxfId="32" priority="63" stopIfTrue="1" operator="equal">
      <formula>"Hedef Tarih Geçti"</formula>
    </cfRule>
  </conditionalFormatting>
  <conditionalFormatting sqref="R59">
    <cfRule type="cellIs" dxfId="31" priority="62" stopIfTrue="1" operator="equal">
      <formula>"Hedef Tarih Geçti"</formula>
    </cfRule>
  </conditionalFormatting>
  <conditionalFormatting sqref="R60">
    <cfRule type="cellIs" dxfId="30" priority="61" stopIfTrue="1" operator="equal">
      <formula>"Hedef Tarih Geçti"</formula>
    </cfRule>
  </conditionalFormatting>
  <conditionalFormatting sqref="R61">
    <cfRule type="cellIs" dxfId="29" priority="60" stopIfTrue="1" operator="equal">
      <formula>"Hedef Tarih Geçti"</formula>
    </cfRule>
  </conditionalFormatting>
  <conditionalFormatting sqref="R62">
    <cfRule type="cellIs" dxfId="28" priority="59" stopIfTrue="1" operator="equal">
      <formula>"Hedef Tarih Geçti"</formula>
    </cfRule>
  </conditionalFormatting>
  <conditionalFormatting sqref="R63">
    <cfRule type="cellIs" dxfId="27" priority="40" stopIfTrue="1" operator="equal">
      <formula>"Hedef Tarih Geçti"</formula>
    </cfRule>
  </conditionalFormatting>
  <conditionalFormatting sqref="R64">
    <cfRule type="cellIs" dxfId="26" priority="39" stopIfTrue="1" operator="equal">
      <formula>"Hedef Tarih Geçti"</formula>
    </cfRule>
  </conditionalFormatting>
  <conditionalFormatting sqref="R65">
    <cfRule type="cellIs" dxfId="25" priority="38" stopIfTrue="1" operator="equal">
      <formula>"Hedef Tarih Geçti"</formula>
    </cfRule>
  </conditionalFormatting>
  <conditionalFormatting sqref="R66">
    <cfRule type="cellIs" dxfId="24" priority="37" stopIfTrue="1" operator="equal">
      <formula>"Hedef Tarih Geçti"</formula>
    </cfRule>
  </conditionalFormatting>
  <conditionalFormatting sqref="R67">
    <cfRule type="cellIs" dxfId="23" priority="36" stopIfTrue="1" operator="equal">
      <formula>"Hedef Tarih Geçti"</formula>
    </cfRule>
  </conditionalFormatting>
  <conditionalFormatting sqref="K8:K67">
    <cfRule type="containsText" dxfId="22" priority="31" operator="containsText" text="DÜŞÜK RİSK">
      <formula>NOT(ISERROR(SEARCH("DÜŞÜK RİSK",K8)))</formula>
    </cfRule>
    <cfRule type="containsText" dxfId="21" priority="32" operator="containsText" text="OLASI RİSK">
      <formula>NOT(ISERROR(SEARCH("OLASI RİSK",K8)))</formula>
    </cfRule>
    <cfRule type="containsText" dxfId="20" priority="33" operator="containsText" text="ÖNEMLİ RİSK">
      <formula>NOT(ISERROR(SEARCH("ÖNEMLİ RİSK",K8)))</formula>
    </cfRule>
    <cfRule type="containsText" dxfId="19" priority="34" operator="containsText" text="YÜKSEK RİSK">
      <formula>NOT(ISERROR(SEARCH("YÜKSEK RİSK",K8)))</formula>
    </cfRule>
    <cfRule type="containsText" dxfId="18" priority="35" operator="containsText" text="TOLERE EDİLEMEZ RİSK">
      <formula>NOT(ISERROR(SEARCH("TOLERE EDİLEMEZ RİSK",K8)))</formula>
    </cfRule>
  </conditionalFormatting>
  <conditionalFormatting sqref="J8:J67">
    <cfRule type="cellIs" dxfId="17" priority="26" operator="lessThan">
      <formula>20</formula>
    </cfRule>
    <cfRule type="cellIs" dxfId="16" priority="27" operator="between">
      <formula>20</formula>
      <formula>69</formula>
    </cfRule>
    <cfRule type="cellIs" dxfId="15" priority="28" operator="between">
      <formula>70</formula>
      <formula>199</formula>
    </cfRule>
    <cfRule type="cellIs" dxfId="14" priority="29" operator="between">
      <formula>200</formula>
      <formula>399</formula>
    </cfRule>
    <cfRule type="cellIs" dxfId="13" priority="30" operator="greaterThanOrEqual">
      <formula>400</formula>
    </cfRule>
  </conditionalFormatting>
  <conditionalFormatting sqref="J8:J67">
    <cfRule type="cellIs" dxfId="12" priority="25" operator="equal">
      <formula>0</formula>
    </cfRule>
  </conditionalFormatting>
  <conditionalFormatting sqref="S8:S67">
    <cfRule type="containsText" dxfId="11" priority="84" operator="containsText" text="Tamamlanan">
      <formula>NOT(ISERROR(SEARCH("Tamamlanan",S8)))</formula>
    </cfRule>
    <cfRule type="containsText" dxfId="10" priority="85" operator="containsText" text="Görüşülecek - Hedef tarih yok">
      <formula>NOT(ISERROR(SEARCH("Görüşülecek - Hedef tarih yok",S8)))</formula>
    </cfRule>
    <cfRule type="containsText" dxfId="9" priority="86" operator="containsText" text="Hedef tarihi geçen">
      <formula>NOT(ISERROR(SEARCH("Hedef tarihi geçen",S8)))</formula>
    </cfRule>
    <cfRule type="containsText" dxfId="8" priority="87" operator="containsText" text="Zaman var">
      <formula>NOT(ISERROR(SEARCH("Zaman var",S8)))</formula>
    </cfRule>
  </conditionalFormatting>
  <conditionalFormatting sqref="R9">
    <cfRule type="cellIs" dxfId="7" priority="8" stopIfTrue="1" operator="equal">
      <formula>"Hedef Tarih Geçti"</formula>
    </cfRule>
  </conditionalFormatting>
  <conditionalFormatting sqref="R22">
    <cfRule type="cellIs" dxfId="6" priority="7" stopIfTrue="1" operator="equal">
      <formula>"Hedef Tarih Geçti"</formula>
    </cfRule>
  </conditionalFormatting>
  <conditionalFormatting sqref="R26:R28">
    <cfRule type="cellIs" dxfId="5" priority="6" stopIfTrue="1" operator="equal">
      <formula>"Hedef Tarih Geçti"</formula>
    </cfRule>
  </conditionalFormatting>
  <conditionalFormatting sqref="R30">
    <cfRule type="cellIs" dxfId="4" priority="5" stopIfTrue="1" operator="equal">
      <formula>"Hedef Tarih Geçti"</formula>
    </cfRule>
  </conditionalFormatting>
  <conditionalFormatting sqref="R45">
    <cfRule type="cellIs" dxfId="3" priority="4" stopIfTrue="1" operator="equal">
      <formula>"Hedef Tarih Geçti"</formula>
    </cfRule>
  </conditionalFormatting>
  <conditionalFormatting sqref="R41">
    <cfRule type="cellIs" dxfId="2" priority="3" stopIfTrue="1" operator="equal">
      <formula>"Hedef Tarih Geçti"</formula>
    </cfRule>
  </conditionalFormatting>
  <conditionalFormatting sqref="R47">
    <cfRule type="cellIs" dxfId="1" priority="2" stopIfTrue="1" operator="equal">
      <formula>"Hedef Tarih Geçti"</formula>
    </cfRule>
  </conditionalFormatting>
  <conditionalFormatting sqref="R48">
    <cfRule type="cellIs" dxfId="0" priority="1" stopIfTrue="1" operator="equal">
      <formula>"Hedef Tarih Geçti"</formula>
    </cfRule>
  </conditionalFormatting>
  <printOptions horizontalCentered="1" verticalCentered="1"/>
  <pageMargins left="0.51181102362204722" right="0.51181102362204722" top="0.74803149606299213" bottom="0.55118110236220474" header="0.31496062992125984" footer="0.31496062992125984"/>
  <pageSetup paperSize="9" scale="61" orientation="landscape" r:id="rId1"/>
  <headerFooter>
    <oddHeader>&amp;L&amp;G&amp;C&amp;"Arial,Kalın"&amp;12İSG AKSİYON PLANI&amp;RSayfa &amp;P/&amp;N</oddHeader>
    <oddFooter>&amp;LFPOP-S210-01-51-V03</odd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Sayfa1!$F$3:$F$7</xm:f>
          </x14:formula1>
          <xm:sqref>K8:K25</xm:sqref>
        </x14:dataValidation>
        <x14:dataValidation type="list" allowBlank="1" showInputMessage="1" showErrorMessage="1">
          <x14:formula1>
            <xm:f>Sayfa1!$E$3:$E$8</xm:f>
          </x14:formula1>
          <xm:sqref>I8:I67</xm:sqref>
        </x14:dataValidation>
        <x14:dataValidation type="list" allowBlank="1" showInputMessage="1" showErrorMessage="1">
          <x14:formula1>
            <xm:f>Sayfa1!$D$3:$D$8</xm:f>
          </x14:formula1>
          <xm:sqref>H8:H67</xm:sqref>
        </x14:dataValidation>
        <x14:dataValidation type="list" allowBlank="1" showInputMessage="1" showErrorMessage="1">
          <x14:formula1>
            <xm:f>Sayfa1!$C$3:$C$8</xm:f>
          </x14:formula1>
          <xm:sqref>G8:G67</xm:sqref>
        </x14:dataValidation>
        <x14:dataValidation type="list" allowBlank="1" showInputMessage="1" showErrorMessage="1">
          <x14:formula1>
            <xm:f>Sayfa1!$B$3:$B$25</xm:f>
          </x14:formula1>
          <xm:sqref>B8:B67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41"/>
  <sheetViews>
    <sheetView workbookViewId="0">
      <selection activeCell="B14" sqref="B14"/>
    </sheetView>
  </sheetViews>
  <sheetFormatPr defaultRowHeight="12.75"/>
  <cols>
    <col min="1" max="1" width="13.7109375" customWidth="1"/>
    <col min="2" max="2" width="27" customWidth="1"/>
    <col min="3" max="3" width="14.5703125" customWidth="1"/>
    <col min="4" max="4" width="17.85546875" customWidth="1"/>
    <col min="5" max="5" width="12.5703125" customWidth="1"/>
    <col min="6" max="6" width="22.28515625" customWidth="1"/>
    <col min="7" max="7" width="19.42578125" customWidth="1"/>
    <col min="8" max="8" width="13.5703125" customWidth="1"/>
    <col min="9" max="9" width="19.42578125" style="107" customWidth="1"/>
    <col min="10" max="10" width="28.5703125" customWidth="1"/>
    <col min="11" max="11" width="21.42578125" customWidth="1"/>
  </cols>
  <sheetData>
    <row r="2" spans="2:12" ht="15.75" customHeight="1">
      <c r="B2" s="84" t="s">
        <v>47</v>
      </c>
      <c r="C2" s="84" t="s">
        <v>85</v>
      </c>
      <c r="D2" s="84" t="s">
        <v>86</v>
      </c>
      <c r="E2" s="84" t="s">
        <v>87</v>
      </c>
      <c r="F2" s="84" t="s">
        <v>89</v>
      </c>
      <c r="G2" s="84" t="s">
        <v>90</v>
      </c>
      <c r="I2" s="109" t="s">
        <v>91</v>
      </c>
      <c r="J2" s="1" t="s">
        <v>28</v>
      </c>
      <c r="K2" s="110" t="s">
        <v>30</v>
      </c>
      <c r="L2" s="110">
        <v>7</v>
      </c>
    </row>
    <row r="3" spans="2:12" ht="18.75" customHeight="1">
      <c r="B3" s="83" t="s">
        <v>57</v>
      </c>
      <c r="C3" s="82">
        <v>10</v>
      </c>
      <c r="D3" s="82">
        <v>10</v>
      </c>
      <c r="E3" s="82">
        <v>100</v>
      </c>
      <c r="F3" s="82" t="s">
        <v>28</v>
      </c>
      <c r="G3" s="82" t="s">
        <v>30</v>
      </c>
      <c r="I3" s="109" t="s">
        <v>93</v>
      </c>
      <c r="J3" s="1" t="s">
        <v>32</v>
      </c>
      <c r="K3" s="110" t="s">
        <v>34</v>
      </c>
      <c r="L3" s="110">
        <v>30</v>
      </c>
    </row>
    <row r="4" spans="2:12" ht="15" customHeight="1">
      <c r="B4" s="83" t="s">
        <v>58</v>
      </c>
      <c r="C4" s="82">
        <v>6</v>
      </c>
      <c r="D4" s="82">
        <v>6</v>
      </c>
      <c r="E4" s="82">
        <v>40</v>
      </c>
      <c r="F4" s="82" t="s">
        <v>32</v>
      </c>
      <c r="G4" s="82" t="s">
        <v>34</v>
      </c>
      <c r="I4" s="109" t="s">
        <v>94</v>
      </c>
      <c r="J4" s="1" t="s">
        <v>36</v>
      </c>
      <c r="K4" s="110" t="s">
        <v>38</v>
      </c>
      <c r="L4" s="110">
        <v>180</v>
      </c>
    </row>
    <row r="5" spans="2:12" ht="15" customHeight="1">
      <c r="B5" s="83" t="s">
        <v>51</v>
      </c>
      <c r="C5" s="82">
        <v>3</v>
      </c>
      <c r="D5" s="82">
        <v>3</v>
      </c>
      <c r="E5" s="82">
        <v>15</v>
      </c>
      <c r="F5" s="82" t="s">
        <v>36</v>
      </c>
      <c r="G5" s="82" t="s">
        <v>38</v>
      </c>
      <c r="I5" s="109" t="s">
        <v>95</v>
      </c>
      <c r="J5" s="1" t="s">
        <v>40</v>
      </c>
      <c r="K5" s="110" t="s">
        <v>42</v>
      </c>
      <c r="L5" s="110">
        <v>365</v>
      </c>
    </row>
    <row r="6" spans="2:12" ht="15" customHeight="1">
      <c r="B6" s="83" t="s">
        <v>50</v>
      </c>
      <c r="C6" s="82">
        <v>1</v>
      </c>
      <c r="D6" s="82">
        <v>2</v>
      </c>
      <c r="E6" s="82">
        <v>7</v>
      </c>
      <c r="F6" s="82" t="s">
        <v>40</v>
      </c>
      <c r="G6" s="82" t="s">
        <v>42</v>
      </c>
      <c r="I6" s="109" t="s">
        <v>96</v>
      </c>
      <c r="J6" s="1" t="s">
        <v>44</v>
      </c>
      <c r="K6" s="110" t="s">
        <v>46</v>
      </c>
      <c r="L6" s="110" t="s">
        <v>92</v>
      </c>
    </row>
    <row r="7" spans="2:12" ht="15" customHeight="1">
      <c r="B7" s="83" t="s">
        <v>49</v>
      </c>
      <c r="C7" s="82">
        <v>0.5</v>
      </c>
      <c r="D7" s="82">
        <v>1</v>
      </c>
      <c r="E7" s="82">
        <v>3</v>
      </c>
      <c r="F7" s="82" t="s">
        <v>44</v>
      </c>
      <c r="G7" s="82" t="s">
        <v>46</v>
      </c>
      <c r="I7" s="106"/>
    </row>
    <row r="8" spans="2:12" ht="15" customHeight="1">
      <c r="B8" s="83" t="s">
        <v>48</v>
      </c>
      <c r="C8" s="82">
        <v>0.2</v>
      </c>
      <c r="D8" s="82">
        <v>0.5</v>
      </c>
      <c r="E8" s="82">
        <v>1</v>
      </c>
      <c r="F8" s="105"/>
      <c r="G8" s="105"/>
      <c r="I8" s="105"/>
    </row>
    <row r="9" spans="2:12">
      <c r="B9" s="83" t="s">
        <v>52</v>
      </c>
    </row>
    <row r="10" spans="2:12">
      <c r="B10" s="83" t="s">
        <v>53</v>
      </c>
    </row>
    <row r="11" spans="2:12">
      <c r="B11" s="83" t="s">
        <v>54</v>
      </c>
    </row>
    <row r="12" spans="2:12" ht="18.75" customHeight="1">
      <c r="B12" s="83" t="s">
        <v>55</v>
      </c>
    </row>
    <row r="13" spans="2:12">
      <c r="B13" s="83" t="s">
        <v>56</v>
      </c>
    </row>
    <row r="14" spans="2:12">
      <c r="B14" s="83" t="s">
        <v>97</v>
      </c>
    </row>
    <row r="15" spans="2:12">
      <c r="B15" s="83"/>
    </row>
    <row r="16" spans="2:12">
      <c r="B16" s="83"/>
    </row>
    <row r="17" spans="1:6">
      <c r="B17" s="83"/>
    </row>
    <row r="18" spans="1:6">
      <c r="B18" s="83"/>
    </row>
    <row r="19" spans="1:6">
      <c r="B19" s="83"/>
    </row>
    <row r="20" spans="1:6">
      <c r="B20" s="83"/>
    </row>
    <row r="21" spans="1:6">
      <c r="B21" s="83"/>
    </row>
    <row r="22" spans="1:6">
      <c r="B22" s="83"/>
    </row>
    <row r="27" spans="1:6" s="86" customFormat="1" ht="54.75" customHeight="1">
      <c r="A27" s="134" t="s">
        <v>60</v>
      </c>
      <c r="B27" s="135"/>
      <c r="C27" s="135"/>
      <c r="D27" s="135"/>
      <c r="E27" s="135"/>
      <c r="F27" s="135"/>
    </row>
    <row r="28" spans="1:6" s="89" customFormat="1" ht="66" customHeight="1">
      <c r="A28" s="87" t="s">
        <v>61</v>
      </c>
      <c r="B28" s="88" t="s">
        <v>62</v>
      </c>
      <c r="C28" s="87" t="s">
        <v>63</v>
      </c>
      <c r="D28" s="88" t="s">
        <v>64</v>
      </c>
      <c r="E28" s="87" t="s">
        <v>65</v>
      </c>
      <c r="F28" s="88" t="s">
        <v>66</v>
      </c>
    </row>
    <row r="29" spans="1:6" s="86" customFormat="1" ht="60" customHeight="1">
      <c r="A29" s="90">
        <v>10</v>
      </c>
      <c r="B29" s="91" t="s">
        <v>67</v>
      </c>
      <c r="C29" s="90">
        <v>10</v>
      </c>
      <c r="D29" s="91" t="s">
        <v>68</v>
      </c>
      <c r="E29" s="90">
        <v>100</v>
      </c>
      <c r="F29" s="92" t="s">
        <v>69</v>
      </c>
    </row>
    <row r="30" spans="1:6" s="86" customFormat="1" ht="75" customHeight="1">
      <c r="A30" s="90">
        <v>6</v>
      </c>
      <c r="B30" s="91" t="s">
        <v>70</v>
      </c>
      <c r="C30" s="90">
        <v>6</v>
      </c>
      <c r="D30" s="91" t="s">
        <v>71</v>
      </c>
      <c r="E30" s="90">
        <v>40</v>
      </c>
      <c r="F30" s="92" t="s">
        <v>72</v>
      </c>
    </row>
    <row r="31" spans="1:6" s="86" customFormat="1" ht="60" customHeight="1">
      <c r="A31" s="90">
        <v>3</v>
      </c>
      <c r="B31" s="91" t="s">
        <v>73</v>
      </c>
      <c r="C31" s="90">
        <v>3</v>
      </c>
      <c r="D31" s="91" t="s">
        <v>74</v>
      </c>
      <c r="E31" s="90">
        <v>15</v>
      </c>
      <c r="F31" s="92" t="s">
        <v>75</v>
      </c>
    </row>
    <row r="32" spans="1:6" s="86" customFormat="1" ht="60" customHeight="1">
      <c r="A32" s="90">
        <v>1</v>
      </c>
      <c r="B32" s="91" t="s">
        <v>76</v>
      </c>
      <c r="C32" s="90">
        <v>2</v>
      </c>
      <c r="D32" s="91" t="s">
        <v>77</v>
      </c>
      <c r="E32" s="90">
        <v>7</v>
      </c>
      <c r="F32" s="92" t="s">
        <v>78</v>
      </c>
    </row>
    <row r="33" spans="1:6" s="86" customFormat="1" ht="60" customHeight="1">
      <c r="A33" s="90">
        <v>0.5</v>
      </c>
      <c r="B33" s="92" t="s">
        <v>79</v>
      </c>
      <c r="C33" s="90">
        <v>1</v>
      </c>
      <c r="D33" s="91" t="s">
        <v>80</v>
      </c>
      <c r="E33" s="90">
        <v>3</v>
      </c>
      <c r="F33" s="92" t="s">
        <v>81</v>
      </c>
    </row>
    <row r="34" spans="1:6" s="86" customFormat="1" ht="60" customHeight="1">
      <c r="A34" s="90">
        <v>0.2</v>
      </c>
      <c r="B34" s="92" t="s">
        <v>82</v>
      </c>
      <c r="C34" s="90">
        <v>0.5</v>
      </c>
      <c r="D34" s="91" t="s">
        <v>83</v>
      </c>
      <c r="E34" s="90">
        <v>1</v>
      </c>
      <c r="F34" s="92" t="s">
        <v>84</v>
      </c>
    </row>
    <row r="35" spans="1:6" s="86" customFormat="1" ht="37.5" customHeight="1">
      <c r="A35" s="136" t="s">
        <v>22</v>
      </c>
      <c r="B35" s="137"/>
      <c r="C35" s="137"/>
      <c r="D35" s="137"/>
      <c r="E35" s="137"/>
      <c r="F35" s="138"/>
    </row>
    <row r="36" spans="1:6" s="95" customFormat="1" ht="34.5" customHeight="1">
      <c r="A36" s="93" t="s">
        <v>23</v>
      </c>
      <c r="B36" s="94" t="s">
        <v>24</v>
      </c>
      <c r="C36" s="139" t="s">
        <v>25</v>
      </c>
      <c r="D36" s="140"/>
      <c r="E36" s="139" t="s">
        <v>26</v>
      </c>
      <c r="F36" s="140"/>
    </row>
    <row r="37" spans="1:6" s="98" customFormat="1" ht="30" customHeight="1">
      <c r="A37" s="96" t="s">
        <v>27</v>
      </c>
      <c r="B37" s="97" t="s">
        <v>28</v>
      </c>
      <c r="C37" s="132" t="s">
        <v>29</v>
      </c>
      <c r="D37" s="133"/>
      <c r="E37" s="132" t="s">
        <v>30</v>
      </c>
      <c r="F37" s="133"/>
    </row>
    <row r="38" spans="1:6" s="98" customFormat="1" ht="30" customHeight="1">
      <c r="A38" s="99" t="s">
        <v>31</v>
      </c>
      <c r="B38" s="97" t="s">
        <v>32</v>
      </c>
      <c r="C38" s="132" t="s">
        <v>33</v>
      </c>
      <c r="D38" s="133"/>
      <c r="E38" s="132" t="s">
        <v>34</v>
      </c>
      <c r="F38" s="133"/>
    </row>
    <row r="39" spans="1:6" s="98" customFormat="1" ht="30" customHeight="1">
      <c r="A39" s="100" t="s">
        <v>35</v>
      </c>
      <c r="B39" s="97" t="s">
        <v>36</v>
      </c>
      <c r="C39" s="132" t="s">
        <v>37</v>
      </c>
      <c r="D39" s="133"/>
      <c r="E39" s="132" t="s">
        <v>38</v>
      </c>
      <c r="F39" s="133"/>
    </row>
    <row r="40" spans="1:6" s="98" customFormat="1" ht="30" customHeight="1">
      <c r="A40" s="101" t="s">
        <v>39</v>
      </c>
      <c r="B40" s="97" t="s">
        <v>40</v>
      </c>
      <c r="C40" s="132" t="s">
        <v>41</v>
      </c>
      <c r="D40" s="133"/>
      <c r="E40" s="132" t="s">
        <v>42</v>
      </c>
      <c r="F40" s="133"/>
    </row>
    <row r="41" spans="1:6" s="98" customFormat="1" ht="30" customHeight="1">
      <c r="A41" s="102" t="s">
        <v>43</v>
      </c>
      <c r="B41" s="97" t="s">
        <v>44</v>
      </c>
      <c r="C41" s="132" t="s">
        <v>45</v>
      </c>
      <c r="D41" s="133"/>
      <c r="E41" s="132" t="s">
        <v>46</v>
      </c>
      <c r="F41" s="133"/>
    </row>
  </sheetData>
  <mergeCells count="14">
    <mergeCell ref="C39:D39"/>
    <mergeCell ref="E39:F39"/>
    <mergeCell ref="C40:D40"/>
    <mergeCell ref="E40:F40"/>
    <mergeCell ref="C41:D41"/>
    <mergeCell ref="E41:F41"/>
    <mergeCell ref="C38:D38"/>
    <mergeCell ref="E38:F38"/>
    <mergeCell ref="A27:F27"/>
    <mergeCell ref="A35:F35"/>
    <mergeCell ref="C36:D36"/>
    <mergeCell ref="E36:F36"/>
    <mergeCell ref="C37:D37"/>
    <mergeCell ref="E37:F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2</vt:i4>
      </vt:variant>
    </vt:vector>
  </HeadingPairs>
  <TitlesOfParts>
    <vt:vector size="4" baseType="lpstr">
      <vt:lpstr>Aksiyon Planı_Risk Sıralamalı</vt:lpstr>
      <vt:lpstr>Sayfa1</vt:lpstr>
      <vt:lpstr>'Aksiyon Planı_Risk Sıralamalı'!Yazdırma_Alanı</vt:lpstr>
      <vt:lpstr>'Aksiyon Planı_Risk Sıralamalı'!Yazdırma_Başlıkları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 KAYMAKCI</dc:creator>
  <cp:lastModifiedBy>Çiğdem AKSU</cp:lastModifiedBy>
  <cp:lastPrinted>2022-06-27T12:30:47Z</cp:lastPrinted>
  <dcterms:created xsi:type="dcterms:W3CDTF">2018-03-12T11:39:58Z</dcterms:created>
  <dcterms:modified xsi:type="dcterms:W3CDTF">2022-06-27T12:30:50Z</dcterms:modified>
</cp:coreProperties>
</file>