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U_Budget_FRG-A410-06-02" sheetId="1" r:id="rId1"/>
    <sheet name="Total_Budget_FRG-A410-06-02" sheetId="4" r:id="rId2"/>
  </sheets>
  <calcPr calcId="144525"/>
</workbook>
</file>

<file path=xl/calcChain.xml><?xml version="1.0" encoding="utf-8"?>
<calcChain xmlns="http://schemas.openxmlformats.org/spreadsheetml/2006/main">
  <c r="C10" i="4" l="1"/>
  <c r="C11" i="4"/>
  <c r="C15" i="4"/>
  <c r="C24" i="4"/>
  <c r="C25" i="4"/>
  <c r="C31" i="4"/>
  <c r="C34" i="4"/>
  <c r="C47" i="4"/>
  <c r="E47" i="4" s="1"/>
  <c r="C49" i="4"/>
  <c r="C50" i="4"/>
  <c r="D20" i="4"/>
  <c r="E31" i="4"/>
  <c r="E10" i="4"/>
  <c r="D13" i="4"/>
  <c r="D28" i="4"/>
  <c r="D35" i="4"/>
  <c r="D41" i="4"/>
  <c r="D45" i="4"/>
  <c r="D53" i="4"/>
  <c r="F44" i="1"/>
  <c r="C44" i="4" s="1"/>
  <c r="E44" i="4" s="1"/>
  <c r="F47" i="1"/>
  <c r="F43" i="1"/>
  <c r="F38" i="1"/>
  <c r="F39" i="1"/>
  <c r="C39" i="4" s="1"/>
  <c r="F40" i="1"/>
  <c r="F37" i="1"/>
  <c r="C37" i="4" s="1"/>
  <c r="F34" i="1"/>
  <c r="F31" i="1"/>
  <c r="F32" i="1"/>
  <c r="C32" i="4" s="1"/>
  <c r="F30" i="1"/>
  <c r="C30" i="4" s="1"/>
  <c r="F10" i="1"/>
  <c r="F11" i="1"/>
  <c r="F12" i="1"/>
  <c r="C12" i="4" s="1"/>
  <c r="F9" i="1"/>
  <c r="F27" i="1"/>
  <c r="F22" i="1"/>
  <c r="C22" i="4" s="1"/>
  <c r="F26" i="1"/>
  <c r="C26" i="4" s="1"/>
  <c r="F25" i="1"/>
  <c r="F24" i="1"/>
  <c r="F23" i="1"/>
  <c r="F51" i="1"/>
  <c r="C51" i="4" s="1"/>
  <c r="F48" i="1"/>
  <c r="F49" i="1"/>
  <c r="F50" i="1"/>
  <c r="F52" i="1"/>
  <c r="F16" i="1"/>
  <c r="F17" i="1"/>
  <c r="F18" i="1"/>
  <c r="F19" i="1"/>
  <c r="F15" i="1"/>
  <c r="E51" i="4" l="1"/>
  <c r="E50" i="4"/>
  <c r="C52" i="4"/>
  <c r="E52" i="4" s="1"/>
  <c r="C48" i="4"/>
  <c r="C43" i="4"/>
  <c r="E43" i="4" s="1"/>
  <c r="E45" i="4" s="1"/>
  <c r="F45" i="1"/>
  <c r="E34" i="4"/>
  <c r="C40" i="4"/>
  <c r="E40" i="4" s="1"/>
  <c r="E39" i="4"/>
  <c r="C38" i="4"/>
  <c r="E38" i="4" s="1"/>
  <c r="E25" i="4"/>
  <c r="C27" i="4"/>
  <c r="E27" i="4" s="1"/>
  <c r="C23" i="4"/>
  <c r="E23" i="4" s="1"/>
  <c r="C16" i="4"/>
  <c r="E16" i="4" s="1"/>
  <c r="C19" i="4"/>
  <c r="E19" i="4" s="1"/>
  <c r="C18" i="4"/>
  <c r="E18" i="4" s="1"/>
  <c r="C17" i="4"/>
  <c r="E17" i="4" s="1"/>
  <c r="C9" i="4"/>
  <c r="E9" i="4" s="1"/>
  <c r="E11" i="4"/>
  <c r="E12" i="4"/>
  <c r="E15" i="4"/>
  <c r="E26" i="4"/>
  <c r="E24" i="4"/>
  <c r="E32" i="4"/>
  <c r="E49" i="4"/>
  <c r="D54" i="4"/>
  <c r="F41" i="1"/>
  <c r="C35" i="4"/>
  <c r="E30" i="4"/>
  <c r="E22" i="4"/>
  <c r="F53" i="1"/>
  <c r="F28" i="1"/>
  <c r="F13" i="1"/>
  <c r="F35" i="1"/>
  <c r="F20" i="1"/>
  <c r="C13" i="4" l="1"/>
  <c r="C45" i="4"/>
  <c r="C28" i="4"/>
  <c r="C53" i="4"/>
  <c r="E13" i="4"/>
  <c r="E48" i="4"/>
  <c r="E53" i="4"/>
  <c r="E28" i="4"/>
  <c r="E20" i="4"/>
  <c r="C20" i="4"/>
  <c r="E35" i="4"/>
  <c r="C41" i="4"/>
  <c r="E37" i="4"/>
  <c r="E41" i="4" s="1"/>
  <c r="F54" i="1"/>
  <c r="E54" i="4" l="1"/>
  <c r="C54" i="4"/>
</calcChain>
</file>

<file path=xl/sharedStrings.xml><?xml version="1.0" encoding="utf-8"?>
<sst xmlns="http://schemas.openxmlformats.org/spreadsheetml/2006/main" count="168" uniqueCount="78">
  <si>
    <t>ACADEMIC ACTIVITIES GRANT BUDGET FORM</t>
  </si>
  <si>
    <t>OFFICE OF RESEARCH AND GRADUATE POLICY</t>
  </si>
  <si>
    <t>PROJECT PI:</t>
  </si>
  <si>
    <t>PROJECT TITLE:</t>
  </si>
  <si>
    <t xml:space="preserve">COSTS </t>
  </si>
  <si>
    <t>SCHOLARSHIPS</t>
  </si>
  <si>
    <t>Graduate  MS / MA</t>
  </si>
  <si>
    <t>Workstudy</t>
  </si>
  <si>
    <t>Graduate PhD Stipend</t>
  </si>
  <si>
    <t>Post-doc</t>
  </si>
  <si>
    <t>Proposed Budget</t>
  </si>
  <si>
    <t>TRAVEL &amp; ACCOMODATION</t>
  </si>
  <si>
    <t>Travel (Domestic)</t>
  </si>
  <si>
    <t>Travel (International)</t>
  </si>
  <si>
    <t>Accomodation for invited speakers</t>
  </si>
  <si>
    <t>SCHOLARSHIPS BUDGET</t>
  </si>
  <si>
    <t>Amount</t>
  </si>
  <si>
    <t>Number of Person</t>
  </si>
  <si>
    <t>TRAVEL &amp; ACCOMODATION BUDGET</t>
  </si>
  <si>
    <t>Conference place rentals</t>
  </si>
  <si>
    <t>CONSULTANCY</t>
  </si>
  <si>
    <t>RENTAL</t>
  </si>
  <si>
    <t>CONSULTANCY &amp; RENTAL BUDGET</t>
  </si>
  <si>
    <t>Consultancy for invited speaker1</t>
  </si>
  <si>
    <t>Consultancy for invited speaker2*</t>
  </si>
  <si>
    <t>Consultancy for invited speaker3*</t>
  </si>
  <si>
    <t>Notes</t>
  </si>
  <si>
    <t># of trips or days</t>
  </si>
  <si>
    <t>Unit Cost</t>
  </si>
  <si>
    <t>CONSUMABLE</t>
  </si>
  <si>
    <t xml:space="preserve">Photocopies &amp; Stationary </t>
  </si>
  <si>
    <t>Printed material (catalog, brochure etc.)</t>
  </si>
  <si>
    <t>Promotional Videos, Banners, Photography, CD etc.</t>
  </si>
  <si>
    <t>Quantity</t>
  </si>
  <si>
    <t>CONSUMABLE BUDGET</t>
  </si>
  <si>
    <t>SERVICE PURCHASES</t>
  </si>
  <si>
    <t>Translation Services**</t>
  </si>
  <si>
    <t>** This item is not supported outside of international organizations.If you need these items, please explain in detail the application form.</t>
  </si>
  <si>
    <t>SERVICE PURCHASES BUDGET</t>
  </si>
  <si>
    <t>Travel (Domestic)*</t>
  </si>
  <si>
    <t>* If different amounts  for invited speaker consultancy or travel expenses.</t>
  </si>
  <si>
    <t>Cofee Breaks</t>
  </si>
  <si>
    <t>SU Cafeteria Meals</t>
  </si>
  <si>
    <t>Off-campus Event</t>
  </si>
  <si>
    <t>On-campus Event (cocktail, dinner etc.)</t>
  </si>
  <si>
    <t>Off- campus meeting package</t>
  </si>
  <si>
    <t>FOOD &amp; BEVERAGE</t>
  </si>
  <si>
    <t>FOOD &amp; BEVERAGE BUDGET</t>
  </si>
  <si>
    <t>Kadıkoy-campus (return)</t>
  </si>
  <si>
    <t>Taksim - campus (return)</t>
  </si>
  <si>
    <t>Kadıkoy-campus (one-way)</t>
  </si>
  <si>
    <t>Taksim-campus (one-way)</t>
  </si>
  <si>
    <t>Other</t>
  </si>
  <si>
    <t xml:space="preserve">Kampus-airport transfer </t>
  </si>
  <si>
    <t>TRANSPORTATON</t>
  </si>
  <si>
    <t>TRANSPORTATON BUDGET</t>
  </si>
  <si>
    <t>TOTAL PROJECT COSTS</t>
  </si>
  <si>
    <t>PLEASE INDICATE BUDGET CURRENCY:</t>
  </si>
  <si>
    <t>Other Services**</t>
  </si>
  <si>
    <t>SU Proposed Budget</t>
  </si>
  <si>
    <t>External Budget</t>
  </si>
  <si>
    <t>Total Budget</t>
  </si>
  <si>
    <t># of Days</t>
  </si>
  <si>
    <t>TL</t>
  </si>
  <si>
    <t>***If you need these items, please explain in detail the application form.</t>
  </si>
  <si>
    <t>Other Event***</t>
  </si>
  <si>
    <t>Other ***</t>
  </si>
  <si>
    <t>Time (hours)</t>
  </si>
  <si>
    <t>Consultancy for invited speaker2**</t>
  </si>
  <si>
    <t>Consultancy for invited speaker3**</t>
  </si>
  <si>
    <t>* If different amounts for travel expenses.</t>
  </si>
  <si>
    <t>** If different amounts for invited speaker consultancy.</t>
  </si>
  <si>
    <t>*** This item is not supported outside of international organizations.If you need these items, please explain in detail the application form.</t>
  </si>
  <si>
    <t>**** If you need these items, please explain in detail the application form.</t>
  </si>
  <si>
    <t>Other Event****</t>
  </si>
  <si>
    <t>Other Services***</t>
  </si>
  <si>
    <t>Translation Services***</t>
  </si>
  <si>
    <t>FRG-A410-06-02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</si>
</sst>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\ &quot;TL&quot;"/>
  </numFmts>
  <fonts count="14" x14ac:knownFonts="1">
    <font>
      <sz val="11"/>
      <color theme="1"/>
      <name val="Calibri"/>
      <family val="2"/>
      <charset val="162"/>
      <scheme val="minor"/>
    </font>
    <font>
      <sz val="10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11"/>
      <color indexed="8"/>
      <name val="Calibri"/>
      <family val="2"/>
      <charset val="162"/>
    </font>
    <font>
      <b/>
      <sz val="8"/>
      <name val="Arial"/>
      <family val="2"/>
      <charset val="162"/>
    </font>
    <font>
      <sz val="8"/>
      <color indexed="10"/>
      <name val="Arial"/>
      <family val="2"/>
      <charset val="162"/>
    </font>
    <font>
      <b/>
      <u/>
      <sz val="8"/>
      <name val="Arial"/>
      <family val="2"/>
      <charset val="162"/>
    </font>
    <font>
      <b/>
      <sz val="8"/>
      <color theme="1"/>
      <name val="Arial"/>
      <family val="2"/>
      <charset val="162"/>
    </font>
    <font>
      <sz val="8"/>
      <color theme="1"/>
      <name val="Arial"/>
      <family val="2"/>
      <charset val="162"/>
    </font>
    <font>
      <i/>
      <sz val="8"/>
      <name val="Arial"/>
      <family val="2"/>
    </font>
    <font>
      <b/>
      <sz val="8"/>
      <color rgb="FFFF0000"/>
      <name val="Arial"/>
      <family val="2"/>
      <charset val="162"/>
    </font>
    <font>
      <b/>
      <sz val="8"/>
      <color theme="0"/>
      <name val="Arial"/>
      <family val="2"/>
      <charset val="162"/>
    </font>
    <font>
      <sz val="8"/>
      <color theme="1"/>
      <name val="Calibri"/>
      <family val="2"/>
      <charset val="162"/>
      <scheme val="minor"/>
    </font>
    <font>
      <sz val="8"/>
      <color rgb="FF002060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79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5" fillId="3" borderId="0" xfId="0" applyFont="1" applyFill="1"/>
    <xf numFmtId="0" fontId="8" fillId="2" borderId="0" xfId="0" applyFont="1" applyFill="1" applyBorder="1"/>
    <xf numFmtId="164" fontId="8" fillId="2" borderId="8" xfId="0" applyNumberFormat="1" applyFont="1" applyFill="1" applyBorder="1"/>
    <xf numFmtId="0" fontId="7" fillId="5" borderId="24" xfId="0" applyFont="1" applyFill="1" applyBorder="1" applyAlignment="1">
      <alignment horizontal="center" vertical="center"/>
    </xf>
    <xf numFmtId="164" fontId="7" fillId="5" borderId="22" xfId="0" applyNumberFormat="1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/>
    </xf>
    <xf numFmtId="0" fontId="9" fillId="3" borderId="0" xfId="1" applyFont="1" applyFill="1" applyBorder="1" applyAlignment="1" applyProtection="1">
      <alignment horizontal="left"/>
    </xf>
    <xf numFmtId="0" fontId="7" fillId="5" borderId="2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/>
    </xf>
    <xf numFmtId="164" fontId="11" fillId="6" borderId="16" xfId="0" applyNumberFormat="1" applyFont="1" applyFill="1" applyBorder="1"/>
    <xf numFmtId="164" fontId="11" fillId="6" borderId="6" xfId="0" applyNumberFormat="1" applyFont="1" applyFill="1" applyBorder="1"/>
    <xf numFmtId="164" fontId="8" fillId="2" borderId="0" xfId="0" applyNumberFormat="1" applyFont="1" applyFill="1" applyBorder="1"/>
    <xf numFmtId="0" fontId="7" fillId="5" borderId="12" xfId="0" applyFont="1" applyFill="1" applyBorder="1" applyAlignment="1">
      <alignment horizontal="center"/>
    </xf>
    <xf numFmtId="164" fontId="10" fillId="4" borderId="12" xfId="1" applyNumberFormat="1" applyFont="1" applyFill="1" applyBorder="1" applyAlignment="1" applyProtection="1">
      <alignment horizontal="right"/>
    </xf>
    <xf numFmtId="164" fontId="8" fillId="2" borderId="11" xfId="0" applyNumberFormat="1" applyFont="1" applyFill="1" applyBorder="1"/>
    <xf numFmtId="164" fontId="8" fillId="2" borderId="23" xfId="0" applyNumberFormat="1" applyFont="1" applyFill="1" applyBorder="1"/>
    <xf numFmtId="0" fontId="4" fillId="3" borderId="0" xfId="0" applyFont="1" applyFill="1" applyBorder="1" applyAlignment="1">
      <alignment horizontal="center"/>
    </xf>
    <xf numFmtId="0" fontId="12" fillId="3" borderId="0" xfId="0" applyFont="1" applyFill="1"/>
    <xf numFmtId="0" fontId="8" fillId="2" borderId="0" xfId="0" applyFont="1" applyFill="1" applyBorder="1" applyAlignment="1">
      <alignment horizontal="center"/>
    </xf>
    <xf numFmtId="3" fontId="8" fillId="2" borderId="8" xfId="0" applyNumberFormat="1" applyFont="1" applyFill="1" applyBorder="1" applyAlignment="1">
      <alignment horizontal="center" vertical="center"/>
    </xf>
    <xf numFmtId="3" fontId="8" fillId="2" borderId="11" xfId="0" applyNumberFormat="1" applyFont="1" applyFill="1" applyBorder="1" applyAlignment="1">
      <alignment horizontal="center" vertical="center"/>
    </xf>
    <xf numFmtId="3" fontId="8" fillId="2" borderId="8" xfId="0" applyNumberFormat="1" applyFont="1" applyFill="1" applyBorder="1" applyAlignment="1">
      <alignment horizontal="center"/>
    </xf>
    <xf numFmtId="3" fontId="8" fillId="2" borderId="11" xfId="0" applyNumberFormat="1" applyFont="1" applyFill="1" applyBorder="1" applyAlignment="1">
      <alignment horizontal="center"/>
    </xf>
    <xf numFmtId="0" fontId="4" fillId="3" borderId="12" xfId="1" applyFont="1" applyFill="1" applyBorder="1" applyAlignment="1" applyProtection="1">
      <alignment horizontal="center"/>
    </xf>
    <xf numFmtId="0" fontId="4" fillId="3" borderId="12" xfId="1" applyFont="1" applyFill="1" applyBorder="1" applyAlignment="1" applyProtection="1">
      <alignment horizontal="center" vertical="center"/>
    </xf>
    <xf numFmtId="0" fontId="13" fillId="2" borderId="0" xfId="0" applyFont="1" applyFill="1" applyBorder="1"/>
    <xf numFmtId="0" fontId="9" fillId="3" borderId="9" xfId="1" applyFont="1" applyFill="1" applyBorder="1" applyAlignment="1" applyProtection="1">
      <alignment horizontal="left"/>
    </xf>
    <xf numFmtId="0" fontId="9" fillId="3" borderId="0" xfId="1" applyFont="1" applyFill="1" applyBorder="1" applyAlignment="1" applyProtection="1">
      <alignment horizontal="left"/>
    </xf>
    <xf numFmtId="0" fontId="10" fillId="4" borderId="4" xfId="1" applyFont="1" applyFill="1" applyBorder="1" applyAlignment="1" applyProtection="1">
      <alignment horizontal="left"/>
    </xf>
    <xf numFmtId="0" fontId="10" fillId="4" borderId="5" xfId="1" applyFont="1" applyFill="1" applyBorder="1" applyAlignment="1" applyProtection="1">
      <alignment horizontal="left"/>
    </xf>
    <xf numFmtId="0" fontId="10" fillId="4" borderId="6" xfId="1" applyFont="1" applyFill="1" applyBorder="1" applyAlignment="1" applyProtection="1">
      <alignment horizontal="left"/>
    </xf>
    <xf numFmtId="0" fontId="9" fillId="3" borderId="20" xfId="1" applyFont="1" applyFill="1" applyBorder="1" applyAlignment="1" applyProtection="1">
      <alignment horizontal="left"/>
    </xf>
    <xf numFmtId="0" fontId="9" fillId="3" borderId="21" xfId="1" applyFont="1" applyFill="1" applyBorder="1" applyAlignment="1" applyProtection="1">
      <alignment horizontal="left"/>
    </xf>
    <xf numFmtId="0" fontId="9" fillId="3" borderId="15" xfId="1" applyFont="1" applyFill="1" applyBorder="1" applyAlignment="1" applyProtection="1">
      <alignment horizontal="left"/>
    </xf>
    <xf numFmtId="0" fontId="9" fillId="3" borderId="17" xfId="1" applyFont="1" applyFill="1" applyBorder="1" applyAlignment="1" applyProtection="1">
      <alignment horizontal="left"/>
    </xf>
    <xf numFmtId="0" fontId="11" fillId="6" borderId="4" xfId="1" applyFont="1" applyFill="1" applyBorder="1" applyAlignment="1" applyProtection="1">
      <alignment horizontal="center"/>
    </xf>
    <xf numFmtId="0" fontId="11" fillId="6" borderId="5" xfId="1" applyFont="1" applyFill="1" applyBorder="1" applyAlignment="1" applyProtection="1">
      <alignment horizontal="center"/>
    </xf>
    <xf numFmtId="0" fontId="11" fillId="6" borderId="6" xfId="1" applyFont="1" applyFill="1" applyBorder="1" applyAlignment="1" applyProtection="1">
      <alignment horizontal="center"/>
    </xf>
    <xf numFmtId="164" fontId="7" fillId="5" borderId="25" xfId="0" applyNumberFormat="1" applyFont="1" applyFill="1" applyBorder="1" applyAlignment="1">
      <alignment horizontal="center" vertical="center"/>
    </xf>
    <xf numFmtId="164" fontId="7" fillId="5" borderId="22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4" fillId="4" borderId="4" xfId="1" applyFont="1" applyFill="1" applyBorder="1" applyAlignment="1" applyProtection="1">
      <alignment horizontal="left"/>
    </xf>
    <xf numFmtId="0" fontId="4" fillId="4" borderId="5" xfId="1" applyFont="1" applyFill="1" applyBorder="1" applyAlignment="1" applyProtection="1">
      <alignment horizontal="left"/>
    </xf>
    <xf numFmtId="0" fontId="9" fillId="3" borderId="27" xfId="1" applyFont="1" applyFill="1" applyBorder="1" applyAlignment="1" applyProtection="1">
      <alignment horizontal="left"/>
    </xf>
    <xf numFmtId="0" fontId="9" fillId="3" borderId="28" xfId="1" applyFont="1" applyFill="1" applyBorder="1" applyAlignment="1" applyProtection="1">
      <alignment horizontal="left"/>
    </xf>
    <xf numFmtId="0" fontId="4" fillId="4" borderId="1" xfId="1" applyFont="1" applyFill="1" applyBorder="1" applyAlignment="1" applyProtection="1">
      <alignment horizontal="left"/>
    </xf>
    <xf numFmtId="0" fontId="4" fillId="4" borderId="3" xfId="1" applyFont="1" applyFill="1" applyBorder="1" applyAlignment="1" applyProtection="1">
      <alignment horizontal="left"/>
    </xf>
    <xf numFmtId="0" fontId="11" fillId="6" borderId="2" xfId="1" applyFont="1" applyFill="1" applyBorder="1" applyAlignment="1" applyProtection="1">
      <alignment horizontal="center"/>
    </xf>
    <xf numFmtId="0" fontId="11" fillId="6" borderId="10" xfId="1" applyFont="1" applyFill="1" applyBorder="1" applyAlignment="1" applyProtection="1">
      <alignment horizontal="center"/>
    </xf>
    <xf numFmtId="0" fontId="4" fillId="4" borderId="6" xfId="1" applyFont="1" applyFill="1" applyBorder="1" applyAlignment="1" applyProtection="1">
      <alignment horizontal="left"/>
    </xf>
    <xf numFmtId="164" fontId="8" fillId="2" borderId="23" xfId="0" applyNumberFormat="1" applyFont="1" applyFill="1" applyBorder="1" applyAlignment="1">
      <alignment horizontal="center"/>
    </xf>
    <xf numFmtId="0" fontId="9" fillId="3" borderId="23" xfId="1" applyFont="1" applyFill="1" applyBorder="1" applyAlignment="1" applyProtection="1">
      <alignment horizontal="left"/>
    </xf>
    <xf numFmtId="0" fontId="11" fillId="6" borderId="22" xfId="1" applyFont="1" applyFill="1" applyBorder="1" applyAlignment="1" applyProtection="1">
      <alignment horizontal="center"/>
    </xf>
    <xf numFmtId="164" fontId="7" fillId="5" borderId="4" xfId="0" applyNumberFormat="1" applyFont="1" applyFill="1" applyBorder="1" applyAlignment="1">
      <alignment horizontal="center" vertical="center"/>
    </xf>
    <xf numFmtId="164" fontId="7" fillId="5" borderId="6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/>
    </xf>
    <xf numFmtId="0" fontId="9" fillId="3" borderId="11" xfId="1" applyFont="1" applyFill="1" applyBorder="1" applyAlignment="1" applyProtection="1">
      <alignment horizontal="left"/>
    </xf>
    <xf numFmtId="164" fontId="7" fillId="5" borderId="5" xfId="0" applyNumberFormat="1" applyFont="1" applyFill="1" applyBorder="1" applyAlignment="1">
      <alignment horizontal="center" vertical="center"/>
    </xf>
    <xf numFmtId="0" fontId="9" fillId="3" borderId="8" xfId="1" applyFont="1" applyFill="1" applyBorder="1" applyAlignment="1" applyProtection="1">
      <alignment horizontal="left"/>
    </xf>
    <xf numFmtId="164" fontId="8" fillId="2" borderId="8" xfId="0" applyNumberFormat="1" applyFont="1" applyFill="1" applyBorder="1" applyAlignment="1">
      <alignment horizontal="center"/>
    </xf>
    <xf numFmtId="0" fontId="7" fillId="5" borderId="26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3" fontId="8" fillId="2" borderId="11" xfId="0" applyNumberFormat="1" applyFont="1" applyFill="1" applyBorder="1" applyAlignment="1">
      <alignment horizontal="center"/>
    </xf>
    <xf numFmtId="3" fontId="8" fillId="2" borderId="23" xfId="0" applyNumberFormat="1" applyFont="1" applyFill="1" applyBorder="1" applyAlignment="1">
      <alignment horizontal="center"/>
    </xf>
    <xf numFmtId="0" fontId="4" fillId="4" borderId="7" xfId="1" applyFont="1" applyFill="1" applyBorder="1" applyAlignment="1" applyProtection="1">
      <alignment horizontal="left"/>
    </xf>
    <xf numFmtId="0" fontId="4" fillId="4" borderId="0" xfId="1" applyFont="1" applyFill="1" applyBorder="1" applyAlignment="1" applyProtection="1">
      <alignment horizontal="left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4" fillId="4" borderId="2" xfId="1" applyFont="1" applyFill="1" applyBorder="1" applyAlignment="1" applyProtection="1">
      <alignment horizontal="left"/>
    </xf>
    <xf numFmtId="0" fontId="9" fillId="3" borderId="30" xfId="1" applyFont="1" applyFill="1" applyBorder="1" applyAlignment="1" applyProtection="1">
      <alignment horizontal="left"/>
    </xf>
    <xf numFmtId="0" fontId="9" fillId="3" borderId="29" xfId="1" applyFont="1" applyFill="1" applyBorder="1" applyAlignment="1" applyProtection="1">
      <alignment horizontal="left"/>
    </xf>
    <xf numFmtId="0" fontId="12" fillId="3" borderId="9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6" fillId="3" borderId="18" xfId="1" applyFont="1" applyFill="1" applyBorder="1" applyAlignment="1" applyProtection="1">
      <alignment horizontal="left"/>
    </xf>
    <xf numFmtId="0" fontId="6" fillId="3" borderId="19" xfId="1" applyFont="1" applyFill="1" applyBorder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://www2/image/sol3.jpg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http://www2/image/sol3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179387</xdr:colOff>
      <xdr:row>0</xdr:row>
      <xdr:rowOff>84137</xdr:rowOff>
    </xdr:from>
    <xdr:to>
      <xdr:col>5</xdr:col>
      <xdr:colOff>130176</xdr:colOff>
      <xdr:row>1</xdr:row>
      <xdr:rowOff>180975</xdr:rowOff>
    </xdr:to>
    <xdr:pic>
      <xdr:nvPicPr>
        <xdr:cNvPr id="3" name="Picture 2" descr="http://www2/image/sol3.jpg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2396"/>
        <a:stretch>
          <a:fillRect/>
        </a:stretch>
      </xdr:blipFill>
      <xdr:spPr bwMode="auto">
        <a:xfrm>
          <a:off x="4156075" y="84137"/>
          <a:ext cx="911226" cy="36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460375</xdr:colOff>
      <xdr:row>0</xdr:row>
      <xdr:rowOff>47625</xdr:rowOff>
    </xdr:from>
    <xdr:to>
      <xdr:col>4</xdr:col>
      <xdr:colOff>315913</xdr:colOff>
      <xdr:row>1</xdr:row>
      <xdr:rowOff>215900</xdr:rowOff>
    </xdr:to>
    <xdr:pic>
      <xdr:nvPicPr>
        <xdr:cNvPr id="2" name="Picture 1" descr="http://www2/image/sol3.jpg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2396"/>
        <a:stretch>
          <a:fillRect/>
        </a:stretch>
      </xdr:blipFill>
      <xdr:spPr bwMode="auto">
        <a:xfrm>
          <a:off x="4111625" y="47625"/>
          <a:ext cx="911226" cy="366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K63"/>
  <sheetViews>
    <sheetView tabSelected="1" zoomScale="120" zoomScaleNormal="120" workbookViewId="0">
      <selection activeCell="F4" sqref="F4"/>
    </sheetView>
  </sheetViews>
  <sheetFormatPr defaultRowHeight="11.25" x14ac:dyDescent="0.2"/>
  <cols>
    <col min="1" max="1" width="14.28515625" style="4" customWidth="1"/>
    <col min="2" max="2" width="20.5703125" style="4" customWidth="1"/>
    <col min="3" max="3" width="10.5703125" style="4" customWidth="1"/>
    <col min="4" max="4" width="14.140625" style="4" customWidth="1"/>
    <col min="5" max="5" width="14.42578125" style="4" customWidth="1"/>
    <col min="6" max="6" width="21.28515625" style="4" customWidth="1"/>
    <col min="7" max="16384" width="9.140625" style="4"/>
  </cols>
  <sheetData>
    <row r="1" spans="1:11" s="1" customFormat="1" ht="21" customHeight="1" x14ac:dyDescent="0.2">
      <c r="B1" s="2" t="s">
        <v>0</v>
      </c>
    </row>
    <row r="2" spans="1:11" s="1" customFormat="1" ht="20.25" customHeight="1" thickBot="1" x14ac:dyDescent="0.25">
      <c r="B2" s="2" t="s">
        <v>1</v>
      </c>
      <c r="C2" s="2"/>
      <c r="D2" s="2"/>
      <c r="E2" s="2"/>
      <c r="F2" s="2"/>
      <c r="G2" s="2"/>
    </row>
    <row r="3" spans="1:11" s="21" customFormat="1" ht="12" thickBot="1" x14ac:dyDescent="0.25">
      <c r="A3" s="49" t="s">
        <v>2</v>
      </c>
      <c r="B3" s="72"/>
      <c r="C3" s="72"/>
      <c r="D3" s="72"/>
      <c r="E3" s="50"/>
      <c r="F3" s="20"/>
      <c r="G3" s="3"/>
      <c r="H3" s="3"/>
      <c r="I3" s="3"/>
      <c r="J3" s="3"/>
      <c r="K3" s="3"/>
    </row>
    <row r="4" spans="1:11" s="21" customFormat="1" ht="15.75" customHeight="1" thickBot="1" x14ac:dyDescent="0.25">
      <c r="A4" s="45" t="s">
        <v>3</v>
      </c>
      <c r="B4" s="46"/>
      <c r="C4" s="46"/>
      <c r="D4" s="46"/>
      <c r="E4" s="53"/>
      <c r="F4" s="20"/>
      <c r="G4" s="3"/>
      <c r="H4" s="3"/>
      <c r="I4" s="3"/>
      <c r="J4" s="3"/>
      <c r="K4" s="3"/>
    </row>
    <row r="5" spans="1:11" s="21" customFormat="1" ht="12" thickBot="1" x14ac:dyDescent="0.25">
      <c r="A5" s="45" t="s">
        <v>57</v>
      </c>
      <c r="B5" s="46"/>
      <c r="C5" s="46"/>
      <c r="D5" s="53"/>
      <c r="E5" s="27" t="s">
        <v>63</v>
      </c>
      <c r="F5" s="20"/>
      <c r="G5" s="3"/>
      <c r="H5" s="3"/>
      <c r="I5" s="3"/>
      <c r="J5" s="3"/>
      <c r="K5" s="3"/>
    </row>
    <row r="6" spans="1:11" x14ac:dyDescent="0.2">
      <c r="A6" s="75"/>
      <c r="B6" s="76"/>
      <c r="C6" s="76"/>
      <c r="D6" s="76"/>
      <c r="E6" s="76"/>
      <c r="F6" s="76"/>
    </row>
    <row r="7" spans="1:11" ht="15.75" customHeight="1" thickBot="1" x14ac:dyDescent="0.25">
      <c r="A7" s="77" t="s">
        <v>4</v>
      </c>
      <c r="B7" s="78"/>
    </row>
    <row r="8" spans="1:11" ht="15.75" customHeight="1" thickBot="1" x14ac:dyDescent="0.25">
      <c r="A8" s="45" t="s">
        <v>5</v>
      </c>
      <c r="B8" s="46"/>
      <c r="C8" s="6" t="s">
        <v>28</v>
      </c>
      <c r="D8" s="64" t="s">
        <v>67</v>
      </c>
      <c r="E8" s="65"/>
      <c r="F8" s="8" t="s">
        <v>10</v>
      </c>
    </row>
    <row r="9" spans="1:11" ht="15" customHeight="1" x14ac:dyDescent="0.2">
      <c r="A9" s="35" t="s">
        <v>6</v>
      </c>
      <c r="B9" s="36"/>
      <c r="C9" s="5"/>
      <c r="D9" s="66"/>
      <c r="E9" s="66"/>
      <c r="F9" s="5">
        <f>C9*D9</f>
        <v>0</v>
      </c>
    </row>
    <row r="10" spans="1:11" x14ac:dyDescent="0.2">
      <c r="A10" s="35" t="s">
        <v>9</v>
      </c>
      <c r="B10" s="36"/>
      <c r="C10" s="18"/>
      <c r="D10" s="66"/>
      <c r="E10" s="66"/>
      <c r="F10" s="5">
        <f t="shared" ref="F10:F12" si="0">C10*D10</f>
        <v>0</v>
      </c>
    </row>
    <row r="11" spans="1:11" x14ac:dyDescent="0.2">
      <c r="A11" s="35" t="s">
        <v>8</v>
      </c>
      <c r="B11" s="36"/>
      <c r="C11" s="18"/>
      <c r="D11" s="66"/>
      <c r="E11" s="66"/>
      <c r="F11" s="5">
        <f t="shared" si="0"/>
        <v>0</v>
      </c>
    </row>
    <row r="12" spans="1:11" ht="12" thickBot="1" x14ac:dyDescent="0.25">
      <c r="A12" s="73" t="s">
        <v>7</v>
      </c>
      <c r="B12" s="74"/>
      <c r="C12" s="19"/>
      <c r="D12" s="67"/>
      <c r="E12" s="67"/>
      <c r="F12" s="5">
        <f t="shared" si="0"/>
        <v>0</v>
      </c>
    </row>
    <row r="13" spans="1:11" ht="15.75" customHeight="1" thickBot="1" x14ac:dyDescent="0.25">
      <c r="A13" s="39" t="s">
        <v>15</v>
      </c>
      <c r="B13" s="40"/>
      <c r="C13" s="40"/>
      <c r="D13" s="40"/>
      <c r="E13" s="41"/>
      <c r="F13" s="14">
        <f>SUM(F9:F12)</f>
        <v>0</v>
      </c>
    </row>
    <row r="14" spans="1:11" ht="12" thickBot="1" x14ac:dyDescent="0.25">
      <c r="A14" s="49" t="s">
        <v>11</v>
      </c>
      <c r="B14" s="72"/>
      <c r="C14" s="6" t="s">
        <v>28</v>
      </c>
      <c r="D14" s="10" t="s">
        <v>27</v>
      </c>
      <c r="E14" s="7" t="s">
        <v>17</v>
      </c>
      <c r="F14" s="8" t="s">
        <v>10</v>
      </c>
    </row>
    <row r="15" spans="1:11" x14ac:dyDescent="0.2">
      <c r="A15" s="35" t="s">
        <v>12</v>
      </c>
      <c r="B15" s="36"/>
      <c r="C15" s="5"/>
      <c r="D15" s="23"/>
      <c r="E15" s="23"/>
      <c r="F15" s="5">
        <f>C15*D15*E15</f>
        <v>0</v>
      </c>
    </row>
    <row r="16" spans="1:11" x14ac:dyDescent="0.2">
      <c r="A16" s="35" t="s">
        <v>39</v>
      </c>
      <c r="B16" s="36"/>
      <c r="C16" s="5"/>
      <c r="D16" s="23"/>
      <c r="E16" s="23"/>
      <c r="F16" s="5">
        <f t="shared" ref="F16:F19" si="1">C16*D16*E16</f>
        <v>0</v>
      </c>
    </row>
    <row r="17" spans="1:6" x14ac:dyDescent="0.2">
      <c r="A17" s="35" t="s">
        <v>13</v>
      </c>
      <c r="B17" s="36"/>
      <c r="C17" s="18"/>
      <c r="D17" s="24"/>
      <c r="E17" s="24"/>
      <c r="F17" s="5">
        <f t="shared" si="1"/>
        <v>0</v>
      </c>
    </row>
    <row r="18" spans="1:6" x14ac:dyDescent="0.2">
      <c r="A18" s="35" t="s">
        <v>39</v>
      </c>
      <c r="B18" s="36"/>
      <c r="C18" s="18"/>
      <c r="D18" s="24"/>
      <c r="E18" s="24"/>
      <c r="F18" s="5">
        <f t="shared" si="1"/>
        <v>0</v>
      </c>
    </row>
    <row r="19" spans="1:6" ht="12" thickBot="1" x14ac:dyDescent="0.25">
      <c r="A19" s="35" t="s">
        <v>14</v>
      </c>
      <c r="B19" s="36"/>
      <c r="C19" s="18"/>
      <c r="D19" s="24"/>
      <c r="E19" s="24"/>
      <c r="F19" s="5">
        <f t="shared" si="1"/>
        <v>0</v>
      </c>
    </row>
    <row r="20" spans="1:6" ht="12" thickBot="1" x14ac:dyDescent="0.25">
      <c r="A20" s="39" t="s">
        <v>18</v>
      </c>
      <c r="B20" s="40"/>
      <c r="C20" s="40"/>
      <c r="D20" s="51"/>
      <c r="E20" s="52"/>
      <c r="F20" s="13">
        <f>SUM(F15:F19)</f>
        <v>0</v>
      </c>
    </row>
    <row r="21" spans="1:6" ht="12" thickBot="1" x14ac:dyDescent="0.25">
      <c r="A21" s="49" t="s">
        <v>54</v>
      </c>
      <c r="B21" s="72"/>
      <c r="C21" s="6" t="s">
        <v>28</v>
      </c>
      <c r="D21" s="10" t="s">
        <v>27</v>
      </c>
      <c r="E21" s="7" t="s">
        <v>17</v>
      </c>
      <c r="F21" s="8" t="s">
        <v>10</v>
      </c>
    </row>
    <row r="22" spans="1:6" x14ac:dyDescent="0.2">
      <c r="A22" s="35" t="s">
        <v>48</v>
      </c>
      <c r="B22" s="36"/>
      <c r="C22" s="5"/>
      <c r="D22" s="25"/>
      <c r="E22" s="25"/>
      <c r="F22" s="5">
        <f>C22*D22*E22</f>
        <v>0</v>
      </c>
    </row>
    <row r="23" spans="1:6" x14ac:dyDescent="0.2">
      <c r="A23" s="35" t="s">
        <v>49</v>
      </c>
      <c r="B23" s="36"/>
      <c r="C23" s="5"/>
      <c r="D23" s="25"/>
      <c r="E23" s="25"/>
      <c r="F23" s="5">
        <f t="shared" ref="F23:F26" si="2">C23*D23*E23</f>
        <v>0</v>
      </c>
    </row>
    <row r="24" spans="1:6" x14ac:dyDescent="0.2">
      <c r="A24" s="35" t="s">
        <v>50</v>
      </c>
      <c r="B24" s="36"/>
      <c r="C24" s="18"/>
      <c r="D24" s="26"/>
      <c r="E24" s="26"/>
      <c r="F24" s="5">
        <f t="shared" si="2"/>
        <v>0</v>
      </c>
    </row>
    <row r="25" spans="1:6" x14ac:dyDescent="0.2">
      <c r="A25" s="35" t="s">
        <v>51</v>
      </c>
      <c r="B25" s="36"/>
      <c r="C25" s="18"/>
      <c r="D25" s="26"/>
      <c r="E25" s="26"/>
      <c r="F25" s="5">
        <f t="shared" si="2"/>
        <v>0</v>
      </c>
    </row>
    <row r="26" spans="1:6" x14ac:dyDescent="0.2">
      <c r="A26" s="35" t="s">
        <v>52</v>
      </c>
      <c r="B26" s="36"/>
      <c r="C26" s="18"/>
      <c r="D26" s="26"/>
      <c r="E26" s="26"/>
      <c r="F26" s="5">
        <f t="shared" si="2"/>
        <v>0</v>
      </c>
    </row>
    <row r="27" spans="1:6" ht="12" thickBot="1" x14ac:dyDescent="0.25">
      <c r="A27" s="35" t="s">
        <v>53</v>
      </c>
      <c r="B27" s="36"/>
      <c r="C27" s="18"/>
      <c r="D27" s="26"/>
      <c r="E27" s="26"/>
      <c r="F27" s="5">
        <f t="shared" ref="F27" si="3">C27*D27*E27</f>
        <v>0</v>
      </c>
    </row>
    <row r="28" spans="1:6" ht="12" thickBot="1" x14ac:dyDescent="0.25">
      <c r="A28" s="39" t="s">
        <v>55</v>
      </c>
      <c r="B28" s="40"/>
      <c r="C28" s="40"/>
      <c r="D28" s="51"/>
      <c r="E28" s="52"/>
      <c r="F28" s="13">
        <f>SUM(F22:F27)</f>
        <v>0</v>
      </c>
    </row>
    <row r="29" spans="1:6" ht="15.75" customHeight="1" thickBot="1" x14ac:dyDescent="0.25">
      <c r="A29" s="68" t="s">
        <v>20</v>
      </c>
      <c r="B29" s="69"/>
      <c r="C29" s="11" t="s">
        <v>28</v>
      </c>
      <c r="D29" s="57" t="s">
        <v>17</v>
      </c>
      <c r="E29" s="58"/>
      <c r="F29" s="12" t="s">
        <v>10</v>
      </c>
    </row>
    <row r="30" spans="1:6" x14ac:dyDescent="0.2">
      <c r="A30" s="60" t="s">
        <v>23</v>
      </c>
      <c r="B30" s="60"/>
      <c r="C30" s="5"/>
      <c r="D30" s="59"/>
      <c r="E30" s="59"/>
      <c r="F30" s="5">
        <f>C30*D30</f>
        <v>0</v>
      </c>
    </row>
    <row r="31" spans="1:6" x14ac:dyDescent="0.2">
      <c r="A31" s="60" t="s">
        <v>68</v>
      </c>
      <c r="B31" s="60"/>
      <c r="C31" s="5"/>
      <c r="D31" s="44"/>
      <c r="E31" s="44"/>
      <c r="F31" s="5">
        <f t="shared" ref="F31:F32" si="4">C31*D31</f>
        <v>0</v>
      </c>
    </row>
    <row r="32" spans="1:6" ht="12" thickBot="1" x14ac:dyDescent="0.25">
      <c r="A32" s="60" t="s">
        <v>69</v>
      </c>
      <c r="B32" s="60"/>
      <c r="C32" s="5"/>
      <c r="D32" s="70"/>
      <c r="E32" s="71"/>
      <c r="F32" s="5">
        <f t="shared" si="4"/>
        <v>0</v>
      </c>
    </row>
    <row r="33" spans="1:6" ht="15.75" customHeight="1" thickBot="1" x14ac:dyDescent="0.25">
      <c r="A33" s="68" t="s">
        <v>21</v>
      </c>
      <c r="B33" s="69"/>
      <c r="C33" s="11" t="s">
        <v>28</v>
      </c>
      <c r="D33" s="42" t="s">
        <v>62</v>
      </c>
      <c r="E33" s="43"/>
      <c r="F33" s="8" t="s">
        <v>10</v>
      </c>
    </row>
    <row r="34" spans="1:6" ht="12" thickBot="1" x14ac:dyDescent="0.25">
      <c r="A34" s="60" t="s">
        <v>19</v>
      </c>
      <c r="B34" s="60"/>
      <c r="C34" s="5"/>
      <c r="D34" s="44"/>
      <c r="E34" s="44"/>
      <c r="F34" s="5">
        <f>C34*D34</f>
        <v>0</v>
      </c>
    </row>
    <row r="35" spans="1:6" ht="12" thickBot="1" x14ac:dyDescent="0.25">
      <c r="A35" s="39" t="s">
        <v>22</v>
      </c>
      <c r="B35" s="40"/>
      <c r="C35" s="40"/>
      <c r="D35" s="40"/>
      <c r="E35" s="56"/>
      <c r="F35" s="13">
        <f>SUM(F30+F31+F32+F34)</f>
        <v>0</v>
      </c>
    </row>
    <row r="36" spans="1:6" ht="12" thickBot="1" x14ac:dyDescent="0.25">
      <c r="A36" s="45" t="s">
        <v>29</v>
      </c>
      <c r="B36" s="46"/>
      <c r="C36" s="11" t="s">
        <v>28</v>
      </c>
      <c r="D36" s="42" t="s">
        <v>33</v>
      </c>
      <c r="E36" s="43"/>
      <c r="F36" s="8" t="s">
        <v>10</v>
      </c>
    </row>
    <row r="37" spans="1:6" x14ac:dyDescent="0.2">
      <c r="A37" s="47" t="s">
        <v>30</v>
      </c>
      <c r="B37" s="48"/>
      <c r="C37" s="5"/>
      <c r="D37" s="59"/>
      <c r="E37" s="59"/>
      <c r="F37" s="5">
        <f>C37*D37</f>
        <v>0</v>
      </c>
    </row>
    <row r="38" spans="1:6" x14ac:dyDescent="0.2">
      <c r="A38" s="35" t="s">
        <v>31</v>
      </c>
      <c r="B38" s="36"/>
      <c r="C38" s="5"/>
      <c r="D38" s="59"/>
      <c r="E38" s="59"/>
      <c r="F38" s="5">
        <f t="shared" ref="F38:F40" si="5">C38*D38</f>
        <v>0</v>
      </c>
    </row>
    <row r="39" spans="1:6" x14ac:dyDescent="0.2">
      <c r="A39" s="35" t="s">
        <v>32</v>
      </c>
      <c r="B39" s="36"/>
      <c r="C39" s="5"/>
      <c r="D39" s="59"/>
      <c r="E39" s="59"/>
      <c r="F39" s="5">
        <f t="shared" si="5"/>
        <v>0</v>
      </c>
    </row>
    <row r="40" spans="1:6" ht="12" thickBot="1" x14ac:dyDescent="0.25">
      <c r="A40" s="35" t="s">
        <v>66</v>
      </c>
      <c r="B40" s="36"/>
      <c r="C40" s="5"/>
      <c r="D40" s="59"/>
      <c r="E40" s="59"/>
      <c r="F40" s="5">
        <f t="shared" si="5"/>
        <v>0</v>
      </c>
    </row>
    <row r="41" spans="1:6" ht="12" thickBot="1" x14ac:dyDescent="0.25">
      <c r="A41" s="39" t="s">
        <v>34</v>
      </c>
      <c r="B41" s="40"/>
      <c r="C41" s="40"/>
      <c r="D41" s="40"/>
      <c r="E41" s="41"/>
      <c r="F41" s="14">
        <f>SUM(F37:F40)</f>
        <v>0</v>
      </c>
    </row>
    <row r="42" spans="1:6" ht="15.75" customHeight="1" thickBot="1" x14ac:dyDescent="0.25">
      <c r="A42" s="45" t="s">
        <v>35</v>
      </c>
      <c r="B42" s="46"/>
      <c r="C42" s="42" t="s">
        <v>16</v>
      </c>
      <c r="D42" s="61"/>
      <c r="E42" s="61"/>
      <c r="F42" s="8" t="s">
        <v>10</v>
      </c>
    </row>
    <row r="43" spans="1:6" x14ac:dyDescent="0.2">
      <c r="A43" s="62" t="s">
        <v>76</v>
      </c>
      <c r="B43" s="62"/>
      <c r="C43" s="63"/>
      <c r="D43" s="63"/>
      <c r="E43" s="63"/>
      <c r="F43" s="5">
        <f>C43</f>
        <v>0</v>
      </c>
    </row>
    <row r="44" spans="1:6" ht="12" thickBot="1" x14ac:dyDescent="0.25">
      <c r="A44" s="55" t="s">
        <v>75</v>
      </c>
      <c r="B44" s="55"/>
      <c r="C44" s="54"/>
      <c r="D44" s="54"/>
      <c r="E44" s="54"/>
      <c r="F44" s="5">
        <f>C44</f>
        <v>0</v>
      </c>
    </row>
    <row r="45" spans="1:6" ht="15.75" customHeight="1" thickBot="1" x14ac:dyDescent="0.25">
      <c r="A45" s="39" t="s">
        <v>38</v>
      </c>
      <c r="B45" s="40"/>
      <c r="C45" s="40"/>
      <c r="D45" s="40"/>
      <c r="E45" s="41"/>
      <c r="F45" s="13">
        <f>SUM(F43:F44)</f>
        <v>0</v>
      </c>
    </row>
    <row r="46" spans="1:6" ht="12" thickBot="1" x14ac:dyDescent="0.25">
      <c r="A46" s="49" t="s">
        <v>46</v>
      </c>
      <c r="B46" s="50"/>
      <c r="C46" s="11" t="s">
        <v>28</v>
      </c>
      <c r="D46" s="57" t="s">
        <v>33</v>
      </c>
      <c r="E46" s="58"/>
      <c r="F46" s="16" t="s">
        <v>10</v>
      </c>
    </row>
    <row r="47" spans="1:6" ht="15" customHeight="1" x14ac:dyDescent="0.2">
      <c r="A47" s="60" t="s">
        <v>41</v>
      </c>
      <c r="B47" s="60"/>
      <c r="C47" s="5"/>
      <c r="D47" s="59"/>
      <c r="E47" s="59"/>
      <c r="F47" s="5">
        <f>C47*D47</f>
        <v>0</v>
      </c>
    </row>
    <row r="48" spans="1:6" x14ac:dyDescent="0.2">
      <c r="A48" s="60" t="s">
        <v>42</v>
      </c>
      <c r="B48" s="60"/>
      <c r="C48" s="5"/>
      <c r="D48" s="44"/>
      <c r="E48" s="44"/>
      <c r="F48" s="5">
        <f t="shared" ref="F48:F52" si="6">C48*D48</f>
        <v>0</v>
      </c>
    </row>
    <row r="49" spans="1:6" x14ac:dyDescent="0.2">
      <c r="A49" s="60" t="s">
        <v>44</v>
      </c>
      <c r="B49" s="60"/>
      <c r="C49" s="5"/>
      <c r="D49" s="44"/>
      <c r="E49" s="44"/>
      <c r="F49" s="5">
        <f t="shared" si="6"/>
        <v>0</v>
      </c>
    </row>
    <row r="50" spans="1:6" x14ac:dyDescent="0.2">
      <c r="A50" s="60" t="s">
        <v>43</v>
      </c>
      <c r="B50" s="60"/>
      <c r="C50" s="5"/>
      <c r="D50" s="44"/>
      <c r="E50" s="44"/>
      <c r="F50" s="5">
        <f t="shared" si="6"/>
        <v>0</v>
      </c>
    </row>
    <row r="51" spans="1:6" x14ac:dyDescent="0.2">
      <c r="A51" s="37" t="s">
        <v>45</v>
      </c>
      <c r="B51" s="38"/>
      <c r="C51" s="5"/>
      <c r="D51" s="44"/>
      <c r="E51" s="44"/>
      <c r="F51" s="5">
        <f t="shared" si="6"/>
        <v>0</v>
      </c>
    </row>
    <row r="52" spans="1:6" ht="12" thickBot="1" x14ac:dyDescent="0.25">
      <c r="A52" s="37" t="s">
        <v>74</v>
      </c>
      <c r="B52" s="38"/>
      <c r="C52" s="5"/>
      <c r="D52" s="44"/>
      <c r="E52" s="44"/>
      <c r="F52" s="5">
        <f t="shared" si="6"/>
        <v>0</v>
      </c>
    </row>
    <row r="53" spans="1:6" ht="12" thickBot="1" x14ac:dyDescent="0.25">
      <c r="A53" s="39" t="s">
        <v>47</v>
      </c>
      <c r="B53" s="40"/>
      <c r="C53" s="40"/>
      <c r="D53" s="40"/>
      <c r="E53" s="56"/>
      <c r="F53" s="13">
        <f>SUM(F47:F52)</f>
        <v>0</v>
      </c>
    </row>
    <row r="54" spans="1:6" ht="15.75" customHeight="1" thickBot="1" x14ac:dyDescent="0.25">
      <c r="A54" s="45" t="s">
        <v>56</v>
      </c>
      <c r="B54" s="46"/>
      <c r="C54" s="46"/>
      <c r="D54" s="46"/>
      <c r="E54" s="53"/>
      <c r="F54" s="17">
        <f>F13+F20+F28+F35+F41+F45+F53</f>
        <v>0</v>
      </c>
    </row>
    <row r="55" spans="1:6" x14ac:dyDescent="0.2">
      <c r="A55" s="9"/>
      <c r="B55" s="9"/>
      <c r="C55" s="22"/>
      <c r="D55" s="22"/>
      <c r="E55" s="22"/>
      <c r="F55" s="15"/>
    </row>
    <row r="56" spans="1:6" ht="12" thickBot="1" x14ac:dyDescent="0.25"/>
    <row r="57" spans="1:6" ht="12" thickBot="1" x14ac:dyDescent="0.25">
      <c r="A57" s="32" t="s">
        <v>26</v>
      </c>
      <c r="B57" s="33"/>
      <c r="C57" s="33"/>
      <c r="D57" s="33"/>
      <c r="E57" s="33"/>
      <c r="F57" s="34"/>
    </row>
    <row r="58" spans="1:6" x14ac:dyDescent="0.2">
      <c r="A58" s="30" t="s">
        <v>70</v>
      </c>
      <c r="B58" s="31"/>
      <c r="C58" s="31"/>
      <c r="D58" s="31"/>
      <c r="E58" s="31"/>
      <c r="F58" s="31"/>
    </row>
    <row r="59" spans="1:6" x14ac:dyDescent="0.2">
      <c r="A59" s="30" t="s">
        <v>71</v>
      </c>
      <c r="B59" s="31"/>
      <c r="C59" s="31"/>
      <c r="D59" s="31"/>
      <c r="E59" s="31"/>
      <c r="F59" s="31"/>
    </row>
    <row r="60" spans="1:6" x14ac:dyDescent="0.2">
      <c r="A60" s="30" t="s">
        <v>72</v>
      </c>
      <c r="B60" s="31"/>
      <c r="C60" s="31"/>
      <c r="D60" s="31"/>
      <c r="E60" s="31"/>
      <c r="F60" s="31"/>
    </row>
    <row r="61" spans="1:6" x14ac:dyDescent="0.2">
      <c r="A61" s="30" t="s">
        <v>73</v>
      </c>
      <c r="B61" s="31"/>
      <c r="C61" s="31"/>
      <c r="D61" s="31"/>
      <c r="E61" s="31"/>
      <c r="F61" s="31"/>
    </row>
    <row r="63" spans="1:6" x14ac:dyDescent="0.2">
      <c r="A63" s="29" t="s">
        <v>77</v>
      </c>
    </row>
  </sheetData>
  <mergeCells count="83">
    <mergeCell ref="A3:E3"/>
    <mergeCell ref="A5:D5"/>
    <mergeCell ref="A4:E4"/>
    <mergeCell ref="A6:F6"/>
    <mergeCell ref="A7:B7"/>
    <mergeCell ref="A14:B14"/>
    <mergeCell ref="A15:B15"/>
    <mergeCell ref="A17:B17"/>
    <mergeCell ref="A8:B8"/>
    <mergeCell ref="A9:B9"/>
    <mergeCell ref="A10:B10"/>
    <mergeCell ref="A11:B11"/>
    <mergeCell ref="A12:B12"/>
    <mergeCell ref="D30:E30"/>
    <mergeCell ref="D31:E31"/>
    <mergeCell ref="D32:E32"/>
    <mergeCell ref="A19:B19"/>
    <mergeCell ref="A13:E13"/>
    <mergeCell ref="A20:E20"/>
    <mergeCell ref="A16:B16"/>
    <mergeCell ref="A18:B18"/>
    <mergeCell ref="A26:B26"/>
    <mergeCell ref="A27:B27"/>
    <mergeCell ref="D29:E29"/>
    <mergeCell ref="A29:B29"/>
    <mergeCell ref="A30:B30"/>
    <mergeCell ref="A21:B21"/>
    <mergeCell ref="A22:B22"/>
    <mergeCell ref="A23:B23"/>
    <mergeCell ref="A33:B33"/>
    <mergeCell ref="A34:B34"/>
    <mergeCell ref="A35:E35"/>
    <mergeCell ref="A31:B31"/>
    <mergeCell ref="A32:B32"/>
    <mergeCell ref="D8:E8"/>
    <mergeCell ref="D9:E9"/>
    <mergeCell ref="D10:E10"/>
    <mergeCell ref="D11:E11"/>
    <mergeCell ref="D12:E12"/>
    <mergeCell ref="A48:B48"/>
    <mergeCell ref="A49:B49"/>
    <mergeCell ref="A41:E41"/>
    <mergeCell ref="A42:B42"/>
    <mergeCell ref="C42:E42"/>
    <mergeCell ref="A43:B43"/>
    <mergeCell ref="C43:E43"/>
    <mergeCell ref="D37:E37"/>
    <mergeCell ref="D38:E38"/>
    <mergeCell ref="D40:E40"/>
    <mergeCell ref="D39:E39"/>
    <mergeCell ref="A47:B47"/>
    <mergeCell ref="A61:F61"/>
    <mergeCell ref="A28:E28"/>
    <mergeCell ref="A54:E54"/>
    <mergeCell ref="C44:E44"/>
    <mergeCell ref="A44:B44"/>
    <mergeCell ref="A53:E53"/>
    <mergeCell ref="D46:E46"/>
    <mergeCell ref="D47:E47"/>
    <mergeCell ref="D48:E48"/>
    <mergeCell ref="D49:E49"/>
    <mergeCell ref="D50:E50"/>
    <mergeCell ref="D52:E52"/>
    <mergeCell ref="D51:E51"/>
    <mergeCell ref="A60:F60"/>
    <mergeCell ref="A50:B50"/>
    <mergeCell ref="A52:B52"/>
    <mergeCell ref="A58:F58"/>
    <mergeCell ref="A57:F57"/>
    <mergeCell ref="A59:F59"/>
    <mergeCell ref="A24:B24"/>
    <mergeCell ref="A25:B25"/>
    <mergeCell ref="A51:B51"/>
    <mergeCell ref="A45:E45"/>
    <mergeCell ref="D33:E33"/>
    <mergeCell ref="D34:E34"/>
    <mergeCell ref="A36:B36"/>
    <mergeCell ref="A37:B37"/>
    <mergeCell ref="A38:B38"/>
    <mergeCell ref="A39:B39"/>
    <mergeCell ref="A46:B46"/>
    <mergeCell ref="A40:B40"/>
    <mergeCell ref="D36:E36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K63"/>
  <sheetViews>
    <sheetView zoomScale="120" zoomScaleNormal="120" workbookViewId="0">
      <selection activeCell="F3" sqref="F3"/>
    </sheetView>
  </sheetViews>
  <sheetFormatPr defaultRowHeight="11.25" x14ac:dyDescent="0.2"/>
  <cols>
    <col min="1" max="1" width="14.28515625" style="4" customWidth="1"/>
    <col min="2" max="2" width="23.140625" style="4" customWidth="1"/>
    <col min="3" max="3" width="17.42578125" style="4" customWidth="1"/>
    <col min="4" max="4" width="15.85546875" style="4" customWidth="1"/>
    <col min="5" max="5" width="13.7109375" style="4" customWidth="1"/>
    <col min="6" max="16384" width="9.140625" style="4"/>
  </cols>
  <sheetData>
    <row r="1" spans="1:11" s="1" customFormat="1" ht="15.75" customHeight="1" x14ac:dyDescent="0.2">
      <c r="B1" s="2" t="s">
        <v>0</v>
      </c>
    </row>
    <row r="2" spans="1:11" s="1" customFormat="1" ht="21.75" customHeight="1" thickBot="1" x14ac:dyDescent="0.25">
      <c r="B2" s="2" t="s">
        <v>1</v>
      </c>
      <c r="C2" s="2"/>
      <c r="D2" s="2"/>
      <c r="E2" s="2"/>
      <c r="F2" s="2"/>
      <c r="G2" s="2"/>
    </row>
    <row r="3" spans="1:11" s="21" customFormat="1" ht="12" thickBot="1" x14ac:dyDescent="0.25">
      <c r="A3" s="49" t="s">
        <v>2</v>
      </c>
      <c r="B3" s="72"/>
      <c r="C3" s="72"/>
      <c r="D3" s="72"/>
      <c r="E3" s="50"/>
      <c r="F3" s="20"/>
      <c r="G3" s="3"/>
      <c r="H3" s="3"/>
      <c r="I3" s="3"/>
      <c r="J3" s="3"/>
      <c r="K3" s="3"/>
    </row>
    <row r="4" spans="1:11" s="21" customFormat="1" ht="15.75" customHeight="1" thickBot="1" x14ac:dyDescent="0.25">
      <c r="A4" s="45" t="s">
        <v>3</v>
      </c>
      <c r="B4" s="46"/>
      <c r="C4" s="46"/>
      <c r="D4" s="46"/>
      <c r="E4" s="53"/>
      <c r="F4" s="20"/>
      <c r="G4" s="3"/>
      <c r="H4" s="3"/>
      <c r="I4" s="3"/>
      <c r="J4" s="3"/>
      <c r="K4" s="3"/>
    </row>
    <row r="5" spans="1:11" s="21" customFormat="1" ht="12" thickBot="1" x14ac:dyDescent="0.25">
      <c r="A5" s="45" t="s">
        <v>57</v>
      </c>
      <c r="B5" s="46"/>
      <c r="C5" s="46"/>
      <c r="D5" s="53"/>
      <c r="E5" s="28" t="s">
        <v>63</v>
      </c>
      <c r="F5" s="20"/>
      <c r="G5" s="3"/>
      <c r="H5" s="3"/>
      <c r="I5" s="3"/>
      <c r="J5" s="3"/>
      <c r="K5" s="3"/>
    </row>
    <row r="6" spans="1:11" x14ac:dyDescent="0.2">
      <c r="A6" s="75"/>
      <c r="B6" s="76"/>
      <c r="C6" s="76"/>
    </row>
    <row r="7" spans="1:11" ht="15.75" customHeight="1" thickBot="1" x14ac:dyDescent="0.25">
      <c r="A7" s="77" t="s">
        <v>4</v>
      </c>
      <c r="B7" s="78"/>
    </row>
    <row r="8" spans="1:11" ht="15.75" customHeight="1" thickBot="1" x14ac:dyDescent="0.25">
      <c r="A8" s="45" t="s">
        <v>5</v>
      </c>
      <c r="B8" s="46"/>
      <c r="C8" s="8" t="s">
        <v>59</v>
      </c>
      <c r="D8" s="8" t="s">
        <v>60</v>
      </c>
      <c r="E8" s="8" t="s">
        <v>61</v>
      </c>
    </row>
    <row r="9" spans="1:11" ht="15" customHeight="1" x14ac:dyDescent="0.2">
      <c r="A9" s="35" t="s">
        <v>6</v>
      </c>
      <c r="B9" s="36"/>
      <c r="C9" s="5">
        <f>'SU_Budget_FRG-A410-06-02'!F9</f>
        <v>0</v>
      </c>
      <c r="D9" s="5"/>
      <c r="E9" s="5">
        <f>C9+D9</f>
        <v>0</v>
      </c>
    </row>
    <row r="10" spans="1:11" x14ac:dyDescent="0.2">
      <c r="A10" s="35" t="s">
        <v>9</v>
      </c>
      <c r="B10" s="36"/>
      <c r="C10" s="5">
        <f>'SU_Budget_FRG-A410-06-02'!F10</f>
        <v>0</v>
      </c>
      <c r="D10" s="5"/>
      <c r="E10" s="5">
        <f t="shared" ref="E10:E12" si="0">C10+D10</f>
        <v>0</v>
      </c>
    </row>
    <row r="11" spans="1:11" x14ac:dyDescent="0.2">
      <c r="A11" s="35" t="s">
        <v>8</v>
      </c>
      <c r="B11" s="36"/>
      <c r="C11" s="5">
        <f>'SU_Budget_FRG-A410-06-02'!F11</f>
        <v>0</v>
      </c>
      <c r="D11" s="5"/>
      <c r="E11" s="5">
        <f t="shared" si="0"/>
        <v>0</v>
      </c>
    </row>
    <row r="12" spans="1:11" ht="12" thickBot="1" x14ac:dyDescent="0.25">
      <c r="A12" s="73" t="s">
        <v>7</v>
      </c>
      <c r="B12" s="74"/>
      <c r="C12" s="5">
        <f>'SU_Budget_FRG-A410-06-02'!F12</f>
        <v>0</v>
      </c>
      <c r="D12" s="5"/>
      <c r="E12" s="5">
        <f t="shared" si="0"/>
        <v>0</v>
      </c>
    </row>
    <row r="13" spans="1:11" ht="15.75" customHeight="1" thickBot="1" x14ac:dyDescent="0.25">
      <c r="A13" s="39" t="s">
        <v>15</v>
      </c>
      <c r="B13" s="40"/>
      <c r="C13" s="14">
        <f>SUM(C9:C12)</f>
        <v>0</v>
      </c>
      <c r="D13" s="14">
        <f t="shared" ref="D13:E13" si="1">SUM(D9:D12)</f>
        <v>0</v>
      </c>
      <c r="E13" s="14">
        <f t="shared" si="1"/>
        <v>0</v>
      </c>
    </row>
    <row r="14" spans="1:11" ht="12" thickBot="1" x14ac:dyDescent="0.25">
      <c r="A14" s="49" t="s">
        <v>11</v>
      </c>
      <c r="B14" s="72"/>
      <c r="C14" s="8" t="s">
        <v>59</v>
      </c>
      <c r="D14" s="8" t="s">
        <v>60</v>
      </c>
      <c r="E14" s="8" t="s">
        <v>61</v>
      </c>
    </row>
    <row r="15" spans="1:11" x14ac:dyDescent="0.2">
      <c r="A15" s="35" t="s">
        <v>12</v>
      </c>
      <c r="B15" s="36"/>
      <c r="C15" s="5">
        <f>'SU_Budget_FRG-A410-06-02'!F15</f>
        <v>0</v>
      </c>
      <c r="D15" s="5"/>
      <c r="E15" s="5">
        <f>C15+D15</f>
        <v>0</v>
      </c>
    </row>
    <row r="16" spans="1:11" x14ac:dyDescent="0.2">
      <c r="A16" s="35" t="s">
        <v>39</v>
      </c>
      <c r="B16" s="36"/>
      <c r="C16" s="5">
        <f>'SU_Budget_FRG-A410-06-02'!F16</f>
        <v>0</v>
      </c>
      <c r="D16" s="5"/>
      <c r="E16" s="5">
        <f t="shared" ref="E16:E19" si="2">C16+D16</f>
        <v>0</v>
      </c>
    </row>
    <row r="17" spans="1:5" x14ac:dyDescent="0.2">
      <c r="A17" s="35" t="s">
        <v>13</v>
      </c>
      <c r="B17" s="36"/>
      <c r="C17" s="5">
        <f>'SU_Budget_FRG-A410-06-02'!F17</f>
        <v>0</v>
      </c>
      <c r="D17" s="5"/>
      <c r="E17" s="5">
        <f t="shared" si="2"/>
        <v>0</v>
      </c>
    </row>
    <row r="18" spans="1:5" x14ac:dyDescent="0.2">
      <c r="A18" s="35" t="s">
        <v>39</v>
      </c>
      <c r="B18" s="36"/>
      <c r="C18" s="5">
        <f>'SU_Budget_FRG-A410-06-02'!F18</f>
        <v>0</v>
      </c>
      <c r="D18" s="5"/>
      <c r="E18" s="5">
        <f t="shared" si="2"/>
        <v>0</v>
      </c>
    </row>
    <row r="19" spans="1:5" ht="12" thickBot="1" x14ac:dyDescent="0.25">
      <c r="A19" s="35" t="s">
        <v>14</v>
      </c>
      <c r="B19" s="36"/>
      <c r="C19" s="5">
        <f>'SU_Budget_FRG-A410-06-02'!F19</f>
        <v>0</v>
      </c>
      <c r="D19" s="5"/>
      <c r="E19" s="5">
        <f t="shared" si="2"/>
        <v>0</v>
      </c>
    </row>
    <row r="20" spans="1:5" ht="12" thickBot="1" x14ac:dyDescent="0.25">
      <c r="A20" s="39" t="s">
        <v>18</v>
      </c>
      <c r="B20" s="40"/>
      <c r="C20" s="13">
        <f>SUM(C15:C19)</f>
        <v>0</v>
      </c>
      <c r="D20" s="13">
        <f>SUM(D15:D19)</f>
        <v>0</v>
      </c>
      <c r="E20" s="13">
        <f t="shared" ref="E20" si="3">SUM(E15:E19)</f>
        <v>0</v>
      </c>
    </row>
    <row r="21" spans="1:5" ht="12" thickBot="1" x14ac:dyDescent="0.25">
      <c r="A21" s="49" t="s">
        <v>54</v>
      </c>
      <c r="B21" s="72"/>
      <c r="C21" s="8" t="s">
        <v>59</v>
      </c>
      <c r="D21" s="8" t="s">
        <v>60</v>
      </c>
      <c r="E21" s="8" t="s">
        <v>61</v>
      </c>
    </row>
    <row r="22" spans="1:5" x14ac:dyDescent="0.2">
      <c r="A22" s="35" t="s">
        <v>48</v>
      </c>
      <c r="B22" s="36"/>
      <c r="C22" s="5">
        <f>'SU_Budget_FRG-A410-06-02'!F22</f>
        <v>0</v>
      </c>
      <c r="D22" s="5"/>
      <c r="E22" s="5">
        <f t="shared" ref="E22:E27" si="4">C22+D22</f>
        <v>0</v>
      </c>
    </row>
    <row r="23" spans="1:5" x14ac:dyDescent="0.2">
      <c r="A23" s="35" t="s">
        <v>49</v>
      </c>
      <c r="B23" s="36"/>
      <c r="C23" s="5">
        <f>'SU_Budget_FRG-A410-06-02'!F23</f>
        <v>0</v>
      </c>
      <c r="D23" s="5"/>
      <c r="E23" s="5">
        <f t="shared" si="4"/>
        <v>0</v>
      </c>
    </row>
    <row r="24" spans="1:5" x14ac:dyDescent="0.2">
      <c r="A24" s="35" t="s">
        <v>50</v>
      </c>
      <c r="B24" s="36"/>
      <c r="C24" s="5">
        <f>'SU_Budget_FRG-A410-06-02'!F24</f>
        <v>0</v>
      </c>
      <c r="D24" s="5"/>
      <c r="E24" s="5">
        <f t="shared" si="4"/>
        <v>0</v>
      </c>
    </row>
    <row r="25" spans="1:5" x14ac:dyDescent="0.2">
      <c r="A25" s="35" t="s">
        <v>51</v>
      </c>
      <c r="B25" s="36"/>
      <c r="C25" s="5">
        <f>'SU_Budget_FRG-A410-06-02'!F25</f>
        <v>0</v>
      </c>
      <c r="D25" s="5"/>
      <c r="E25" s="5">
        <f t="shared" si="4"/>
        <v>0</v>
      </c>
    </row>
    <row r="26" spans="1:5" x14ac:dyDescent="0.2">
      <c r="A26" s="35" t="s">
        <v>52</v>
      </c>
      <c r="B26" s="36"/>
      <c r="C26" s="5">
        <f>'SU_Budget_FRG-A410-06-02'!F26</f>
        <v>0</v>
      </c>
      <c r="D26" s="5"/>
      <c r="E26" s="5">
        <f t="shared" si="4"/>
        <v>0</v>
      </c>
    </row>
    <row r="27" spans="1:5" ht="12" thickBot="1" x14ac:dyDescent="0.25">
      <c r="A27" s="35" t="s">
        <v>53</v>
      </c>
      <c r="B27" s="36"/>
      <c r="C27" s="5">
        <f>'SU_Budget_FRG-A410-06-02'!F27</f>
        <v>0</v>
      </c>
      <c r="D27" s="5"/>
      <c r="E27" s="5">
        <f t="shared" si="4"/>
        <v>0</v>
      </c>
    </row>
    <row r="28" spans="1:5" ht="12" thickBot="1" x14ac:dyDescent="0.25">
      <c r="A28" s="39" t="s">
        <v>55</v>
      </c>
      <c r="B28" s="40"/>
      <c r="C28" s="13">
        <f>SUM(C22:C27)</f>
        <v>0</v>
      </c>
      <c r="D28" s="13">
        <f t="shared" ref="D28:E28" si="5">SUM(D22:D27)</f>
        <v>0</v>
      </c>
      <c r="E28" s="13">
        <f t="shared" si="5"/>
        <v>0</v>
      </c>
    </row>
    <row r="29" spans="1:5" ht="15.75" customHeight="1" thickBot="1" x14ac:dyDescent="0.25">
      <c r="A29" s="68" t="s">
        <v>20</v>
      </c>
      <c r="B29" s="69"/>
      <c r="C29" s="8" t="s">
        <v>59</v>
      </c>
      <c r="D29" s="8" t="s">
        <v>60</v>
      </c>
      <c r="E29" s="8" t="s">
        <v>61</v>
      </c>
    </row>
    <row r="30" spans="1:5" x14ac:dyDescent="0.2">
      <c r="A30" s="60" t="s">
        <v>23</v>
      </c>
      <c r="B30" s="60"/>
      <c r="C30" s="5">
        <f>'SU_Budget_FRG-A410-06-02'!F30</f>
        <v>0</v>
      </c>
      <c r="D30" s="5"/>
      <c r="E30" s="5">
        <f t="shared" ref="E30:E34" si="6">C30+D30</f>
        <v>0</v>
      </c>
    </row>
    <row r="31" spans="1:5" x14ac:dyDescent="0.2">
      <c r="A31" s="60" t="s">
        <v>24</v>
      </c>
      <c r="B31" s="60"/>
      <c r="C31" s="5">
        <f>'SU_Budget_FRG-A410-06-02'!F31</f>
        <v>0</v>
      </c>
      <c r="D31" s="5"/>
      <c r="E31" s="5">
        <f t="shared" si="6"/>
        <v>0</v>
      </c>
    </row>
    <row r="32" spans="1:5" ht="12" thickBot="1" x14ac:dyDescent="0.25">
      <c r="A32" s="60" t="s">
        <v>25</v>
      </c>
      <c r="B32" s="60"/>
      <c r="C32" s="5">
        <f>'SU_Budget_FRG-A410-06-02'!F32</f>
        <v>0</v>
      </c>
      <c r="D32" s="5"/>
      <c r="E32" s="5">
        <f t="shared" si="6"/>
        <v>0</v>
      </c>
    </row>
    <row r="33" spans="1:5" ht="15.75" customHeight="1" thickBot="1" x14ac:dyDescent="0.25">
      <c r="A33" s="68" t="s">
        <v>21</v>
      </c>
      <c r="B33" s="69"/>
      <c r="C33" s="8" t="s">
        <v>59</v>
      </c>
      <c r="D33" s="8" t="s">
        <v>60</v>
      </c>
      <c r="E33" s="8" t="s">
        <v>61</v>
      </c>
    </row>
    <row r="34" spans="1:5" ht="12" thickBot="1" x14ac:dyDescent="0.25">
      <c r="A34" s="60" t="s">
        <v>19</v>
      </c>
      <c r="B34" s="60"/>
      <c r="C34" s="5">
        <f>'SU_Budget_FRG-A410-06-02'!F34</f>
        <v>0</v>
      </c>
      <c r="D34" s="5"/>
      <c r="E34" s="5">
        <f t="shared" si="6"/>
        <v>0</v>
      </c>
    </row>
    <row r="35" spans="1:5" ht="12" thickBot="1" x14ac:dyDescent="0.25">
      <c r="A35" s="39" t="s">
        <v>22</v>
      </c>
      <c r="B35" s="40"/>
      <c r="C35" s="13">
        <f>SUM(C30+C31+C32+C34)</f>
        <v>0</v>
      </c>
      <c r="D35" s="13">
        <f t="shared" ref="D35:E35" si="7">SUM(D30+D31+D32+D34)</f>
        <v>0</v>
      </c>
      <c r="E35" s="13">
        <f t="shared" si="7"/>
        <v>0</v>
      </c>
    </row>
    <row r="36" spans="1:5" ht="12" thickBot="1" x14ac:dyDescent="0.25">
      <c r="A36" s="45" t="s">
        <v>29</v>
      </c>
      <c r="B36" s="46"/>
      <c r="C36" s="8" t="s">
        <v>59</v>
      </c>
      <c r="D36" s="8" t="s">
        <v>60</v>
      </c>
      <c r="E36" s="8" t="s">
        <v>61</v>
      </c>
    </row>
    <row r="37" spans="1:5" x14ac:dyDescent="0.2">
      <c r="A37" s="47" t="s">
        <v>30</v>
      </c>
      <c r="B37" s="48"/>
      <c r="C37" s="5">
        <f>'SU_Budget_FRG-A410-06-02'!F37</f>
        <v>0</v>
      </c>
      <c r="D37" s="5"/>
      <c r="E37" s="5">
        <f t="shared" ref="E37:E40" si="8">C37+D37</f>
        <v>0</v>
      </c>
    </row>
    <row r="38" spans="1:5" x14ac:dyDescent="0.2">
      <c r="A38" s="35" t="s">
        <v>31</v>
      </c>
      <c r="B38" s="36"/>
      <c r="C38" s="5">
        <f>'SU_Budget_FRG-A410-06-02'!F38</f>
        <v>0</v>
      </c>
      <c r="D38" s="5"/>
      <c r="E38" s="5">
        <f t="shared" si="8"/>
        <v>0</v>
      </c>
    </row>
    <row r="39" spans="1:5" x14ac:dyDescent="0.2">
      <c r="A39" s="35" t="s">
        <v>32</v>
      </c>
      <c r="B39" s="36"/>
      <c r="C39" s="5">
        <f>'SU_Budget_FRG-A410-06-02'!F39</f>
        <v>0</v>
      </c>
      <c r="D39" s="5"/>
      <c r="E39" s="5">
        <f t="shared" si="8"/>
        <v>0</v>
      </c>
    </row>
    <row r="40" spans="1:5" ht="12" thickBot="1" x14ac:dyDescent="0.25">
      <c r="A40" s="35" t="s">
        <v>66</v>
      </c>
      <c r="B40" s="36"/>
      <c r="C40" s="5">
        <f>'SU_Budget_FRG-A410-06-02'!F40</f>
        <v>0</v>
      </c>
      <c r="D40" s="5"/>
      <c r="E40" s="5">
        <f t="shared" si="8"/>
        <v>0</v>
      </c>
    </row>
    <row r="41" spans="1:5" ht="12" thickBot="1" x14ac:dyDescent="0.25">
      <c r="A41" s="39" t="s">
        <v>34</v>
      </c>
      <c r="B41" s="40"/>
      <c r="C41" s="14">
        <f>SUM(C37:C40)</f>
        <v>0</v>
      </c>
      <c r="D41" s="14">
        <f t="shared" ref="D41:E41" si="9">SUM(D37:D40)</f>
        <v>0</v>
      </c>
      <c r="E41" s="14">
        <f t="shared" si="9"/>
        <v>0</v>
      </c>
    </row>
    <row r="42" spans="1:5" ht="15.75" customHeight="1" thickBot="1" x14ac:dyDescent="0.25">
      <c r="A42" s="45" t="s">
        <v>35</v>
      </c>
      <c r="B42" s="46"/>
      <c r="C42" s="8" t="s">
        <v>59</v>
      </c>
      <c r="D42" s="8" t="s">
        <v>60</v>
      </c>
      <c r="E42" s="8" t="s">
        <v>10</v>
      </c>
    </row>
    <row r="43" spans="1:5" x14ac:dyDescent="0.2">
      <c r="A43" s="62" t="s">
        <v>36</v>
      </c>
      <c r="B43" s="62"/>
      <c r="C43" s="5">
        <f>'SU_Budget_FRG-A410-06-02'!F43</f>
        <v>0</v>
      </c>
      <c r="D43" s="5"/>
      <c r="E43" s="5">
        <f t="shared" ref="E43:E44" si="10">C43+D43</f>
        <v>0</v>
      </c>
    </row>
    <row r="44" spans="1:5" ht="12" thickBot="1" x14ac:dyDescent="0.25">
      <c r="A44" s="55" t="s">
        <v>58</v>
      </c>
      <c r="B44" s="55"/>
      <c r="C44" s="5">
        <f>'SU_Budget_FRG-A410-06-02'!F44</f>
        <v>0</v>
      </c>
      <c r="D44" s="5"/>
      <c r="E44" s="5">
        <f t="shared" si="10"/>
        <v>0</v>
      </c>
    </row>
    <row r="45" spans="1:5" ht="15.75" customHeight="1" thickBot="1" x14ac:dyDescent="0.25">
      <c r="A45" s="39" t="s">
        <v>38</v>
      </c>
      <c r="B45" s="40"/>
      <c r="C45" s="13">
        <f>SUM(C43:C44)</f>
        <v>0</v>
      </c>
      <c r="D45" s="13">
        <f t="shared" ref="D45:E45" si="11">SUM(D43:D44)</f>
        <v>0</v>
      </c>
      <c r="E45" s="13">
        <f t="shared" si="11"/>
        <v>0</v>
      </c>
    </row>
    <row r="46" spans="1:5" ht="12" thickBot="1" x14ac:dyDescent="0.25">
      <c r="A46" s="49" t="s">
        <v>46</v>
      </c>
      <c r="B46" s="50"/>
      <c r="C46" s="8" t="s">
        <v>59</v>
      </c>
      <c r="D46" s="8" t="s">
        <v>60</v>
      </c>
      <c r="E46" s="8" t="s">
        <v>61</v>
      </c>
    </row>
    <row r="47" spans="1:5" ht="15" customHeight="1" x14ac:dyDescent="0.2">
      <c r="A47" s="60" t="s">
        <v>41</v>
      </c>
      <c r="B47" s="60"/>
      <c r="C47" s="5">
        <f>'SU_Budget_FRG-A410-06-02'!F47</f>
        <v>0</v>
      </c>
      <c r="D47" s="5"/>
      <c r="E47" s="5">
        <f t="shared" ref="E47:E52" si="12">C47+D47</f>
        <v>0</v>
      </c>
    </row>
    <row r="48" spans="1:5" x14ac:dyDescent="0.2">
      <c r="A48" s="60" t="s">
        <v>42</v>
      </c>
      <c r="B48" s="60"/>
      <c r="C48" s="5">
        <f>'SU_Budget_FRG-A410-06-02'!F48</f>
        <v>0</v>
      </c>
      <c r="D48" s="5"/>
      <c r="E48" s="5">
        <f t="shared" si="12"/>
        <v>0</v>
      </c>
    </row>
    <row r="49" spans="1:6" x14ac:dyDescent="0.2">
      <c r="A49" s="60" t="s">
        <v>44</v>
      </c>
      <c r="B49" s="60"/>
      <c r="C49" s="5">
        <f>'SU_Budget_FRG-A410-06-02'!F49</f>
        <v>0</v>
      </c>
      <c r="D49" s="5"/>
      <c r="E49" s="5">
        <f t="shared" si="12"/>
        <v>0</v>
      </c>
    </row>
    <row r="50" spans="1:6" x14ac:dyDescent="0.2">
      <c r="A50" s="60" t="s">
        <v>43</v>
      </c>
      <c r="B50" s="60"/>
      <c r="C50" s="5">
        <f>'SU_Budget_FRG-A410-06-02'!F50</f>
        <v>0</v>
      </c>
      <c r="D50" s="5"/>
      <c r="E50" s="5">
        <f t="shared" si="12"/>
        <v>0</v>
      </c>
    </row>
    <row r="51" spans="1:6" x14ac:dyDescent="0.2">
      <c r="A51" s="37" t="s">
        <v>45</v>
      </c>
      <c r="B51" s="38"/>
      <c r="C51" s="5">
        <f>'SU_Budget_FRG-A410-06-02'!F51</f>
        <v>0</v>
      </c>
      <c r="D51" s="5"/>
      <c r="E51" s="5">
        <f t="shared" si="12"/>
        <v>0</v>
      </c>
    </row>
    <row r="52" spans="1:6" ht="12" thickBot="1" x14ac:dyDescent="0.25">
      <c r="A52" s="37" t="s">
        <v>65</v>
      </c>
      <c r="B52" s="38"/>
      <c r="C52" s="5">
        <f>'SU_Budget_FRG-A410-06-02'!F52</f>
        <v>0</v>
      </c>
      <c r="D52" s="5"/>
      <c r="E52" s="5">
        <f t="shared" si="12"/>
        <v>0</v>
      </c>
    </row>
    <row r="53" spans="1:6" ht="12" thickBot="1" x14ac:dyDescent="0.25">
      <c r="A53" s="39" t="s">
        <v>47</v>
      </c>
      <c r="B53" s="40"/>
      <c r="C53" s="13">
        <f>SUM(C47:C52)</f>
        <v>0</v>
      </c>
      <c r="D53" s="13">
        <f t="shared" ref="D53:E53" si="13">SUM(D47:D52)</f>
        <v>0</v>
      </c>
      <c r="E53" s="13">
        <f t="shared" si="13"/>
        <v>0</v>
      </c>
    </row>
    <row r="54" spans="1:6" ht="15.75" customHeight="1" thickBot="1" x14ac:dyDescent="0.25">
      <c r="A54" s="45" t="s">
        <v>56</v>
      </c>
      <c r="B54" s="46"/>
      <c r="C54" s="17">
        <f>C13+C20+C28+C35+C41+C45+C53</f>
        <v>0</v>
      </c>
      <c r="D54" s="17">
        <f t="shared" ref="D54:E54" si="14">D13+D20+D28+D35+D41+D45+D53</f>
        <v>0</v>
      </c>
      <c r="E54" s="17">
        <f t="shared" si="14"/>
        <v>0</v>
      </c>
    </row>
    <row r="55" spans="1:6" x14ac:dyDescent="0.2">
      <c r="A55" s="9"/>
      <c r="B55" s="9"/>
      <c r="C55" s="15"/>
    </row>
    <row r="56" spans="1:6" ht="12" thickBot="1" x14ac:dyDescent="0.25"/>
    <row r="57" spans="1:6" ht="12" thickBot="1" x14ac:dyDescent="0.25">
      <c r="A57" s="32" t="s">
        <v>26</v>
      </c>
      <c r="B57" s="33"/>
      <c r="C57" s="34"/>
    </row>
    <row r="58" spans="1:6" x14ac:dyDescent="0.2">
      <c r="A58" s="30" t="s">
        <v>40</v>
      </c>
      <c r="B58" s="31"/>
      <c r="C58" s="31"/>
    </row>
    <row r="59" spans="1:6" x14ac:dyDescent="0.2">
      <c r="A59" s="30" t="s">
        <v>37</v>
      </c>
      <c r="B59" s="31"/>
      <c r="C59" s="31"/>
      <c r="D59" s="31"/>
      <c r="E59" s="31"/>
      <c r="F59" s="31"/>
    </row>
    <row r="60" spans="1:6" x14ac:dyDescent="0.2">
      <c r="A60" s="30" t="s">
        <v>64</v>
      </c>
      <c r="B60" s="31"/>
      <c r="C60" s="31"/>
      <c r="D60" s="31"/>
      <c r="E60" s="31"/>
      <c r="F60" s="31"/>
    </row>
    <row r="62" spans="1:6" x14ac:dyDescent="0.2">
      <c r="A62" s="29" t="s">
        <v>77</v>
      </c>
    </row>
    <row r="63" spans="1:6" x14ac:dyDescent="0.2">
      <c r="A63" s="29"/>
    </row>
  </sheetData>
  <mergeCells count="56">
    <mergeCell ref="A6:C6"/>
    <mergeCell ref="A7:B7"/>
    <mergeCell ref="A11:B11"/>
    <mergeCell ref="A12:B12"/>
    <mergeCell ref="A13:B13"/>
    <mergeCell ref="A14:B14"/>
    <mergeCell ref="A8:B8"/>
    <mergeCell ref="A9:B9"/>
    <mergeCell ref="A10:B10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31:B31"/>
    <mergeCell ref="A32:B32"/>
    <mergeCell ref="A33:B33"/>
    <mergeCell ref="A27:B27"/>
    <mergeCell ref="A28:B28"/>
    <mergeCell ref="A29:B29"/>
    <mergeCell ref="A30:B30"/>
    <mergeCell ref="A38:B38"/>
    <mergeCell ref="A39:B39"/>
    <mergeCell ref="A40:B40"/>
    <mergeCell ref="A34:B34"/>
    <mergeCell ref="A35:B35"/>
    <mergeCell ref="A36:B36"/>
    <mergeCell ref="A37:B37"/>
    <mergeCell ref="A48:B48"/>
    <mergeCell ref="A41:B41"/>
    <mergeCell ref="A42:B42"/>
    <mergeCell ref="A43:B43"/>
    <mergeCell ref="A44:B44"/>
    <mergeCell ref="A60:F60"/>
    <mergeCell ref="A3:E3"/>
    <mergeCell ref="A5:D5"/>
    <mergeCell ref="A4:E4"/>
    <mergeCell ref="A59:F59"/>
    <mergeCell ref="A52:B52"/>
    <mergeCell ref="A53:B53"/>
    <mergeCell ref="A54:B54"/>
    <mergeCell ref="A57:C57"/>
    <mergeCell ref="A58:C58"/>
    <mergeCell ref="A49:B49"/>
    <mergeCell ref="A50:B50"/>
    <mergeCell ref="A51:B51"/>
    <mergeCell ref="A45:B45"/>
    <mergeCell ref="A46:B46"/>
    <mergeCell ref="A47:B47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SU_Budget_FRG-A410-06-02</vt:lpstr>
      <vt:lpstr>Total_Budget_FRG-A410-06-02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sezen sefayi</dc:creator>
  <cp:lastModifiedBy>sezen sefayi</cp:lastModifiedBy>
  <cp:lastPrinted>2015-04-28T09:11:28Z</cp:lastPrinted>
  <dcterms:created xsi:type="dcterms:W3CDTF">2013-11-28T11:05:12Z</dcterms:created>
  <dcterms:modified xsi:type="dcterms:W3CDTF">2015-04-28T09:13:52Z</dcterms:modified>
</cp:coreProperties>
</file>