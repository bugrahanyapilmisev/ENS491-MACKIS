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/>
  </bookViews>
  <sheets>
    <sheet name="İSG Aksiyonları Performans Taki" sheetId="5" r:id="rId1"/>
  </sheets>
  <definedNames>
    <definedName name="_xlnm.Print_Area" localSheetId="0">'İSG Aksiyonları Performans Taki'!$A$1:$AJ$10</definedName>
  </definedNames>
  <calcPr calcId="1456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7" i="5" l="1"/>
  <c r="AI6" i="5" l="1"/>
  <c r="AI5" i="5" s="1"/>
  <c r="AI8" i="5" l="1"/>
  <c r="AI9" i="5" s="1"/>
  <c r="AJ5" i="5" l="1"/>
  <c r="AJ7" i="5"/>
  <c r="AJ8" i="5"/>
  <c r="AJ6" i="5"/>
</calcChain>
</file>

<file path=xl/sharedStrings.xml><?xml version="1.0" encoding="utf-8"?>
<sst xmlns="http://schemas.openxmlformats.org/spreadsheetml/2006/main" count="55" uniqueCount="52">
  <si>
    <t>Bilgi Merkezi</t>
  </si>
  <si>
    <t>Bilgi Teknolojisi</t>
  </si>
  <si>
    <t>Diller Okulu</t>
  </si>
  <si>
    <t>Tamamlanan</t>
  </si>
  <si>
    <t>Zaman Var</t>
  </si>
  <si>
    <t>Hedef Tarihi Geçen</t>
  </si>
  <si>
    <t>Görüşülecek - Hedef tarih yok</t>
  </si>
  <si>
    <t>MDBF</t>
  </si>
  <si>
    <t>Öğrenci Kaynakları</t>
  </si>
  <si>
    <t>Rektörlük</t>
  </si>
  <si>
    <t>Sağlık Merkezi</t>
  </si>
  <si>
    <t>SGM</t>
  </si>
  <si>
    <t>UC</t>
  </si>
  <si>
    <t>YBF</t>
  </si>
  <si>
    <t>YBF-EDU</t>
  </si>
  <si>
    <t>Toplam</t>
  </si>
  <si>
    <t>%Toplam</t>
  </si>
  <si>
    <t>SSBF - SUSAM</t>
  </si>
  <si>
    <t>HİZMETLER</t>
  </si>
  <si>
    <t>Temizlik</t>
  </si>
  <si>
    <t xml:space="preserve"> Peyzaj - Akaryakıt Tankı</t>
  </si>
  <si>
    <t>Haberleşme Merkezi</t>
  </si>
  <si>
    <t>Güvenlik</t>
  </si>
  <si>
    <t>D2 BİNASI</t>
  </si>
  <si>
    <t>Hizmetler - Ofisler, Soyunma Odaları vb.</t>
  </si>
  <si>
    <t>Ulaşım</t>
  </si>
  <si>
    <t>Yurtlar</t>
  </si>
  <si>
    <t>Çay Ocakları</t>
  </si>
  <si>
    <t>Yemekhane</t>
  </si>
  <si>
    <t>Depolar</t>
  </si>
  <si>
    <t xml:space="preserve">SAO </t>
  </si>
  <si>
    <t xml:space="preserve">Teknik Alanlar (Çatı, Tünel vb. vb.) </t>
  </si>
  <si>
    <t>Elektrik</t>
  </si>
  <si>
    <t>İnşaat</t>
  </si>
  <si>
    <t>Mekanik</t>
  </si>
  <si>
    <t>Satın Alma</t>
  </si>
  <si>
    <t>Kampüs Dış Alanları</t>
  </si>
  <si>
    <t>FAKÜLTELER</t>
  </si>
  <si>
    <t>TOPLAM</t>
  </si>
  <si>
    <t>KİRACILAR</t>
  </si>
  <si>
    <t>Lojmanlar ve Rektör Evi</t>
  </si>
  <si>
    <t>Kiracılar</t>
  </si>
  <si>
    <t>BT</t>
  </si>
  <si>
    <t>BM</t>
  </si>
  <si>
    <t>ÖK</t>
  </si>
  <si>
    <t>REKTÖRLÜK</t>
  </si>
  <si>
    <t>Müze</t>
  </si>
  <si>
    <t>KİM (Minerva Han)</t>
  </si>
  <si>
    <t>TUZLA KAMPÜS DIŞI ALANLAR</t>
  </si>
  <si>
    <t>İSG ALAN DENETİM VE ALTİŞVEREN İSG EVRAK DENETİM AKSİYON KAPATMA PERFORMANSI TAKİP</t>
  </si>
  <si>
    <t>Altunizade Dijital Kampüs</t>
  </si>
  <si>
    <t>İSG AKSİYONLARI PERFORMANS TAKİP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</si>
</sst>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2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" fontId="0" fillId="0" borderId="0" xfId="0" applyNumberFormat="1"/>
    <xf numFmtId="0" fontId="2" fillId="3" borderId="1" xfId="1" quotePrefix="1" applyFont="1" applyFill="1" applyBorder="1" applyAlignment="1">
      <alignment vertical="center" wrapText="1"/>
    </xf>
    <xf numFmtId="0" fontId="2" fillId="4" borderId="1" xfId="1" quotePrefix="1" applyFont="1" applyFill="1" applyBorder="1" applyAlignment="1">
      <alignment vertical="center" wrapText="1"/>
    </xf>
    <xf numFmtId="0" fontId="2" fillId="5" borderId="1" xfId="1" quotePrefix="1" applyFont="1" applyFill="1" applyBorder="1" applyAlignment="1">
      <alignment vertical="center" wrapText="1"/>
    </xf>
    <xf numFmtId="0" fontId="2" fillId="6" borderId="1" xfId="1" quotePrefix="1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1" fontId="0" fillId="0" borderId="1" xfId="0" applyNumberFormat="1" applyBorder="1"/>
    <xf numFmtId="1" fontId="0" fillId="0" borderId="1" xfId="0" applyNumberFormat="1" applyFill="1" applyBorder="1"/>
    <xf numFmtId="1" fontId="3" fillId="0" borderId="1" xfId="0" applyNumberFormat="1" applyFont="1" applyBorder="1"/>
    <xf numFmtId="0" fontId="4" fillId="2" borderId="1" xfId="0" applyFont="1" applyFill="1" applyBorder="1" applyAlignment="1">
      <alignment horizontal="center" vertical="center" textRotation="90" wrapText="1" readingOrder="1"/>
    </xf>
    <xf numFmtId="0" fontId="4" fillId="0" borderId="1" xfId="0" applyFont="1" applyFill="1" applyBorder="1" applyAlignment="1">
      <alignment horizontal="center" vertical="center" textRotation="90" wrapText="1" readingOrder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2" sqref="A2"/>
      <selection pane="bottomRight" activeCell="J5" sqref="J5"/>
    </sheetView>
  </sheetViews>
  <sheetFormatPr defaultRowHeight="15" x14ac:dyDescent="0.25"/>
  <cols>
    <col min="1" max="1" width="32.140625" customWidth="1"/>
    <col min="2" max="2" width="7.140625" customWidth="1"/>
    <col min="3" max="7" width="6" customWidth="1"/>
    <col min="8" max="8" width="6.140625" customWidth="1"/>
    <col min="9" max="17" width="6" customWidth="1"/>
    <col min="18" max="18" width="7" customWidth="1"/>
    <col min="19" max="29" width="6" customWidth="1"/>
    <col min="30" max="34" width="9.5703125" customWidth="1"/>
    <col min="35" max="36" width="6" customWidth="1"/>
  </cols>
  <sheetData>
    <row r="2" spans="1:36" ht="30" customHeight="1" x14ac:dyDescent="0.25">
      <c r="A2" s="21" t="s">
        <v>51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s="13" customFormat="1" ht="57" customHeight="1" x14ac:dyDescent="0.2">
      <c r="A3" s="19" t="s">
        <v>49</v>
      </c>
      <c r="B3" s="16" t="s">
        <v>23</v>
      </c>
      <c r="C3" s="18"/>
      <c r="D3" s="15" t="s">
        <v>18</v>
      </c>
      <c r="E3" s="15"/>
      <c r="F3" s="15"/>
      <c r="G3" s="15"/>
      <c r="H3" s="15"/>
      <c r="I3" s="15"/>
      <c r="J3" s="15"/>
      <c r="K3" s="15"/>
      <c r="L3" s="15"/>
      <c r="M3" s="15" t="s">
        <v>30</v>
      </c>
      <c r="N3" s="15"/>
      <c r="O3" s="15"/>
      <c r="P3" s="15"/>
      <c r="Q3" s="15"/>
      <c r="R3" s="15"/>
      <c r="S3" s="15"/>
      <c r="T3" s="15" t="s">
        <v>37</v>
      </c>
      <c r="U3" s="15"/>
      <c r="V3" s="15"/>
      <c r="W3" s="15"/>
      <c r="X3" s="15"/>
      <c r="Y3" s="14" t="s">
        <v>42</v>
      </c>
      <c r="Z3" s="14" t="s">
        <v>11</v>
      </c>
      <c r="AA3" s="14" t="s">
        <v>12</v>
      </c>
      <c r="AB3" s="14" t="s">
        <v>43</v>
      </c>
      <c r="AC3" s="14" t="s">
        <v>44</v>
      </c>
      <c r="AD3" s="14" t="s">
        <v>45</v>
      </c>
      <c r="AE3" s="14" t="s">
        <v>39</v>
      </c>
      <c r="AF3" s="16" t="s">
        <v>48</v>
      </c>
      <c r="AG3" s="17"/>
      <c r="AH3" s="18"/>
      <c r="AI3" s="15" t="s">
        <v>38</v>
      </c>
      <c r="AJ3" s="15"/>
    </row>
    <row r="4" spans="1:36" s="12" customFormat="1" ht="78" customHeight="1" x14ac:dyDescent="0.2">
      <c r="A4" s="20"/>
      <c r="B4" s="10" t="s">
        <v>24</v>
      </c>
      <c r="C4" s="10" t="s">
        <v>10</v>
      </c>
      <c r="D4" s="11" t="s">
        <v>22</v>
      </c>
      <c r="E4" s="11" t="s">
        <v>21</v>
      </c>
      <c r="F4" s="11" t="s">
        <v>20</v>
      </c>
      <c r="G4" s="11" t="s">
        <v>19</v>
      </c>
      <c r="H4" s="11" t="s">
        <v>25</v>
      </c>
      <c r="I4" s="11" t="s">
        <v>26</v>
      </c>
      <c r="J4" s="11" t="s">
        <v>40</v>
      </c>
      <c r="K4" s="11" t="s">
        <v>27</v>
      </c>
      <c r="L4" s="11" t="s">
        <v>28</v>
      </c>
      <c r="M4" s="11" t="s">
        <v>29</v>
      </c>
      <c r="N4" s="11" t="s">
        <v>32</v>
      </c>
      <c r="O4" s="11" t="s">
        <v>33</v>
      </c>
      <c r="P4" s="11" t="s">
        <v>34</v>
      </c>
      <c r="Q4" s="11" t="s">
        <v>35</v>
      </c>
      <c r="R4" s="11" t="s">
        <v>31</v>
      </c>
      <c r="S4" s="11" t="s">
        <v>36</v>
      </c>
      <c r="T4" s="11" t="s">
        <v>7</v>
      </c>
      <c r="U4" s="11" t="s">
        <v>17</v>
      </c>
      <c r="V4" s="11" t="s">
        <v>2</v>
      </c>
      <c r="W4" s="10" t="s">
        <v>13</v>
      </c>
      <c r="X4" s="10" t="s">
        <v>14</v>
      </c>
      <c r="Y4" s="10" t="s">
        <v>1</v>
      </c>
      <c r="Z4" s="10" t="s">
        <v>11</v>
      </c>
      <c r="AA4" s="11" t="s">
        <v>12</v>
      </c>
      <c r="AB4" s="10" t="s">
        <v>0</v>
      </c>
      <c r="AC4" s="10" t="s">
        <v>8</v>
      </c>
      <c r="AD4" s="10" t="s">
        <v>9</v>
      </c>
      <c r="AE4" s="10" t="s">
        <v>41</v>
      </c>
      <c r="AF4" s="11" t="s">
        <v>46</v>
      </c>
      <c r="AG4" s="11" t="s">
        <v>50</v>
      </c>
      <c r="AH4" s="11" t="s">
        <v>47</v>
      </c>
      <c r="AI4" s="10" t="s">
        <v>15</v>
      </c>
      <c r="AJ4" s="10" t="s">
        <v>16</v>
      </c>
    </row>
    <row r="5" spans="1:36" ht="26.25" customHeight="1" x14ac:dyDescent="0.25">
      <c r="A5" s="2" t="s">
        <v>5</v>
      </c>
      <c r="B5" s="7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7"/>
      <c r="AB5" s="7"/>
      <c r="AC5" s="7"/>
      <c r="AD5" s="7"/>
      <c r="AE5" s="7"/>
      <c r="AF5" s="8"/>
      <c r="AG5" s="8"/>
      <c r="AH5" s="8"/>
      <c r="AI5" s="7">
        <f>SUM(B5:AH5)</f>
        <v>0</v>
      </c>
      <c r="AJ5" s="9" t="e">
        <f>AI5*100/AI9</f>
        <v>#DIV/0!</v>
      </c>
    </row>
    <row r="6" spans="1:36" ht="26.25" customHeight="1" x14ac:dyDescent="0.25">
      <c r="A6" s="3" t="s">
        <v>4</v>
      </c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/>
      <c r="X6" s="7"/>
      <c r="Y6" s="7"/>
      <c r="Z6" s="7"/>
      <c r="AA6" s="7"/>
      <c r="AB6" s="7"/>
      <c r="AC6" s="7"/>
      <c r="AD6" s="7"/>
      <c r="AE6" s="7"/>
      <c r="AF6" s="8"/>
      <c r="AG6" s="8"/>
      <c r="AH6" s="8"/>
      <c r="AI6" s="7">
        <f>SUM(B6:AH6)</f>
        <v>0</v>
      </c>
      <c r="AJ6" s="9" t="e">
        <f>AI6*100/AI9</f>
        <v>#DIV/0!</v>
      </c>
    </row>
    <row r="7" spans="1:36" ht="26.25" customHeight="1" x14ac:dyDescent="0.25">
      <c r="A7" s="4" t="s">
        <v>6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7"/>
      <c r="X7" s="7"/>
      <c r="Y7" s="7"/>
      <c r="Z7" s="7"/>
      <c r="AA7" s="7"/>
      <c r="AB7" s="7"/>
      <c r="AC7" s="7"/>
      <c r="AD7" s="7"/>
      <c r="AE7" s="7"/>
      <c r="AF7" s="8"/>
      <c r="AG7" s="8"/>
      <c r="AH7" s="8"/>
      <c r="AI7" s="7">
        <f>SUM(B7:AH7)</f>
        <v>0</v>
      </c>
      <c r="AJ7" s="9" t="e">
        <f>AI7*100/AI9</f>
        <v>#DIV/0!</v>
      </c>
    </row>
    <row r="8" spans="1:36" ht="26.25" customHeight="1" x14ac:dyDescent="0.25">
      <c r="A8" s="5" t="s">
        <v>3</v>
      </c>
      <c r="B8" s="7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7"/>
      <c r="X8" s="7"/>
      <c r="Y8" s="7"/>
      <c r="Z8" s="7"/>
      <c r="AA8" s="7"/>
      <c r="AB8" s="7"/>
      <c r="AC8" s="7"/>
      <c r="AD8" s="7"/>
      <c r="AE8" s="7"/>
      <c r="AF8" s="8"/>
      <c r="AG8" s="8"/>
      <c r="AH8" s="8"/>
      <c r="AI8" s="7">
        <f>SUM(B8:AH8)</f>
        <v>0</v>
      </c>
      <c r="AJ8" s="9" t="e">
        <f>AI8*100/AI9</f>
        <v>#DIV/0!</v>
      </c>
    </row>
    <row r="9" spans="1:36" x14ac:dyDescent="0.25">
      <c r="AE9" s="6"/>
      <c r="AF9" s="6"/>
      <c r="AG9" s="6"/>
      <c r="AH9" s="6" t="s">
        <v>15</v>
      </c>
      <c r="AI9" s="1">
        <f>SUM(AI5:AI8)</f>
        <v>0</v>
      </c>
    </row>
  </sheetData>
  <mergeCells count="8">
    <mergeCell ref="A2:AJ2"/>
    <mergeCell ref="AI3:AJ3"/>
    <mergeCell ref="A3:A4"/>
    <mergeCell ref="B3:C3"/>
    <mergeCell ref="D3:L3"/>
    <mergeCell ref="M3:S3"/>
    <mergeCell ref="T3:X3"/>
    <mergeCell ref="AF3:AH3"/>
  </mergeCells>
  <pageMargins left="0.70866141732283472" right="0.70866141732283472" top="2.1259842519685042" bottom="0.74803149606299213" header="0.31496062992125984" footer="0.31496062992125984"/>
  <pageSetup paperSize="9" scale="48" orientation="landscape" r:id="rId1"/>
  <headerFooter>
    <oddHeader>&amp;L&amp;G</oddHeader>
    <oddFooter>&amp;LFPOP-S210-01-110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İSG Aksiyonları Performans Taki</vt:lpstr>
      <vt:lpstr>'İSG Aksiyonları Performans Taki'!Yazdırma_Alanı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Çiğdem AKSU</cp:lastModifiedBy>
  <cp:lastPrinted>2022-06-27T12:18:03Z</cp:lastPrinted>
  <dcterms:created xsi:type="dcterms:W3CDTF">2018-12-24T06:08:16Z</dcterms:created>
  <dcterms:modified xsi:type="dcterms:W3CDTF">2022-06-27T12:18:20Z</dcterms:modified>
</cp:coreProperties>
</file>