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user\Desktop\"/>
    </mc:Choice>
  </mc:AlternateContent>
  <xr:revisionPtr revIDLastSave="0" documentId="8_{5CF88788-241F-4296-9D57-A5FD2A23A664}" xr6:coauthVersionLast="36" xr6:coauthVersionMax="36" xr10:uidLastSave="{00000000-0000-0000-0000-000000000000}"/>
  <bookViews>
    <workbookView xWindow="0" yWindow="0" windowWidth="20490" windowHeight="7545" xr2:uid="{21DC382C-A5BB-43AE-9419-10A07276CBA7}"/>
  </bookViews>
  <sheets>
    <sheet name="Yıl" sheetId="4" r:id="rId1"/>
    <sheet name="Elektroniklesme" sheetId="5" r:id="rId2"/>
    <sheet name="Konu" sheetId="2" r:id="rId3"/>
    <sheet name="Dil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5" l="1"/>
  <c r="E24" i="5"/>
  <c r="E26" i="5" s="1"/>
  <c r="E21" i="5"/>
  <c r="F20" i="5"/>
  <c r="F19" i="5"/>
  <c r="G16" i="5"/>
  <c r="E16" i="5"/>
  <c r="F15" i="5"/>
  <c r="F14" i="5"/>
  <c r="G10" i="5"/>
  <c r="E10" i="5"/>
  <c r="F9" i="5"/>
  <c r="F8" i="5"/>
  <c r="G5" i="5"/>
  <c r="E5" i="5"/>
  <c r="F4" i="5"/>
  <c r="F3" i="5"/>
  <c r="G26" i="5" l="1"/>
  <c r="F25" i="5"/>
  <c r="F24" i="5"/>
</calcChain>
</file>

<file path=xl/sharedStrings.xml><?xml version="1.0" encoding="utf-8"?>
<sst xmlns="http://schemas.openxmlformats.org/spreadsheetml/2006/main" count="239" uniqueCount="216">
  <si>
    <t>CALL Number</t>
  </si>
  <si>
    <t>Description</t>
  </si>
  <si>
    <t>Konu</t>
  </si>
  <si>
    <t>AC1-AM9999</t>
  </si>
  <si>
    <t>AC-Collections.Series.Collected Works</t>
  </si>
  <si>
    <t>GENEL</t>
  </si>
  <si>
    <t>B1-BP9999</t>
  </si>
  <si>
    <t>B-Philosophy(General)</t>
  </si>
  <si>
    <t>FELSEFE, PSİKOLOJİ, DİN</t>
  </si>
  <si>
    <t>CB1-CT9999</t>
  </si>
  <si>
    <t>CB-History of civilization</t>
  </si>
  <si>
    <t>TARİHE YARDIMCI BİLİMLER</t>
  </si>
  <si>
    <t>D1-DR9999</t>
  </si>
  <si>
    <t>D-History(General)</t>
  </si>
  <si>
    <t>Tarih(Genel, Avrupa)</t>
  </si>
  <si>
    <t>DS1-DX9999</t>
  </si>
  <si>
    <t>DS-Asia</t>
  </si>
  <si>
    <t>Tarih(Asya,Afrika vb.)</t>
  </si>
  <si>
    <t>E1-F9999</t>
  </si>
  <si>
    <t>E-History:United States(General)</t>
  </si>
  <si>
    <t xml:space="preserve">Tarih (ABD) </t>
  </si>
  <si>
    <t>G1-GV9999</t>
  </si>
  <si>
    <t>G-Geography(General).Atlases.Maps.</t>
  </si>
  <si>
    <t>Coğrafya, antropoloji</t>
  </si>
  <si>
    <t>H1-HX9999</t>
  </si>
  <si>
    <t>H-Social Sciences(General)</t>
  </si>
  <si>
    <t>Sosyal bilimler</t>
  </si>
  <si>
    <t>JA1-JZ9999</t>
  </si>
  <si>
    <t>JA-Political science(General)</t>
  </si>
  <si>
    <t>Siyasal bilim</t>
  </si>
  <si>
    <t>K1-KMZ9999</t>
  </si>
  <si>
    <t>K-Law (General)</t>
  </si>
  <si>
    <t>Hukuk</t>
  </si>
  <si>
    <t>LA1-LC9999</t>
  </si>
  <si>
    <t>LA-History of education</t>
  </si>
  <si>
    <t>Eğitim</t>
  </si>
  <si>
    <t>ML1-MT9999</t>
  </si>
  <si>
    <t>ML-Literature of music</t>
  </si>
  <si>
    <t>Müzik</t>
  </si>
  <si>
    <t>N1-NX9999</t>
  </si>
  <si>
    <t>N-Visual arts(General)</t>
  </si>
  <si>
    <t>Güzel sanatlar</t>
  </si>
  <si>
    <t>P1-PT9999</t>
  </si>
  <si>
    <t>P-Philology and linguistics(General)</t>
  </si>
  <si>
    <t>Dil ve edebiyat</t>
  </si>
  <si>
    <t>Q1-QR9999</t>
  </si>
  <si>
    <t>Q-Science(General)</t>
  </si>
  <si>
    <t>Bilim</t>
  </si>
  <si>
    <t>R1-RM9999</t>
  </si>
  <si>
    <t>R-Medicine(General)</t>
  </si>
  <si>
    <t>Tıp</t>
  </si>
  <si>
    <t>S1-SB9999</t>
  </si>
  <si>
    <t>S-Agriculture</t>
  </si>
  <si>
    <t>Tarım</t>
  </si>
  <si>
    <t>T1-TX9999</t>
  </si>
  <si>
    <t>T-Technology(General)</t>
  </si>
  <si>
    <t>Teknoloji ve mühendislik</t>
  </si>
  <si>
    <t>U1-UB9999</t>
  </si>
  <si>
    <t>U-Military Sciences</t>
  </si>
  <si>
    <t>Askerlik</t>
  </si>
  <si>
    <t>V1-V9999</t>
  </si>
  <si>
    <t>V-Naval science(General)</t>
  </si>
  <si>
    <t>Denizcilik</t>
  </si>
  <si>
    <t>Z1-Z7999</t>
  </si>
  <si>
    <t>Z-Books (General).Writing.Paleography</t>
  </si>
  <si>
    <t>Kütüphanecilik</t>
  </si>
  <si>
    <t>No Call</t>
  </si>
  <si>
    <t>No Call number found</t>
  </si>
  <si>
    <t>Totals:</t>
  </si>
  <si>
    <t xml:space="preserve">Türkçe </t>
  </si>
  <si>
    <t>tu</t>
  </si>
  <si>
    <t>İngilizce</t>
  </si>
  <si>
    <t>eng</t>
  </si>
  <si>
    <t>Fransızca</t>
  </si>
  <si>
    <t>fre</t>
  </si>
  <si>
    <t>Almanca</t>
  </si>
  <si>
    <t>ger</t>
  </si>
  <si>
    <t>İtalyanca</t>
  </si>
  <si>
    <t>ita</t>
  </si>
  <si>
    <t>İspanyolca</t>
  </si>
  <si>
    <t>spa</t>
  </si>
  <si>
    <t>Arapça</t>
  </si>
  <si>
    <t>ara</t>
  </si>
  <si>
    <t>Osmanlıca</t>
  </si>
  <si>
    <t>ota</t>
  </si>
  <si>
    <t>Rusca</t>
  </si>
  <si>
    <t>rus</t>
  </si>
  <si>
    <t>Japonca</t>
  </si>
  <si>
    <t>jpn</t>
  </si>
  <si>
    <t>Farsca</t>
  </si>
  <si>
    <t>per</t>
  </si>
  <si>
    <t>Rumence</t>
  </si>
  <si>
    <t>rum</t>
  </si>
  <si>
    <t>Flemenkçe</t>
  </si>
  <si>
    <t>dut</t>
  </si>
  <si>
    <t>Türkmen</t>
  </si>
  <si>
    <t>tuk</t>
  </si>
  <si>
    <t>Çok Dilli</t>
  </si>
  <si>
    <t>mul</t>
  </si>
  <si>
    <t>Diğer</t>
  </si>
  <si>
    <t>Toplam</t>
  </si>
  <si>
    <t>Basılı Kaynak Sayısı</t>
  </si>
  <si>
    <t xml:space="preserve">             BİBLİYOGRAFİK KAYIT İSTATİSTİK FORMU - KONUSAL</t>
  </si>
  <si>
    <t xml:space="preserve">KOLEKSİYON DURUMU                                                  </t>
  </si>
  <si>
    <t>(1998 - )</t>
  </si>
  <si>
    <t>Tür</t>
  </si>
  <si>
    <t>Bir Önceki Yıl Toplam Kaynak Sayısı</t>
  </si>
  <si>
    <t>Son Yıl Eklenen Kaynak Sayısı</t>
  </si>
  <si>
    <t>Toplam Kaynak Sayısı</t>
  </si>
  <si>
    <t>%</t>
  </si>
  <si>
    <t xml:space="preserve">Kitap </t>
  </si>
  <si>
    <t xml:space="preserve">Genel                        </t>
  </si>
  <si>
    <t>Kitap -ebook formatı da olan</t>
  </si>
  <si>
    <t>Kolay okunabilir - Basic</t>
  </si>
  <si>
    <t>Kolay okunabilir - Inter</t>
  </si>
  <si>
    <t>Kolay okunabilir - Upper</t>
  </si>
  <si>
    <t>Öğretim üyesi rezerv</t>
  </si>
  <si>
    <t>Öğrenci rezerv</t>
  </si>
  <si>
    <t xml:space="preserve">Referans                    </t>
  </si>
  <si>
    <t xml:space="preserve">Büyük boy                    </t>
  </si>
  <si>
    <t xml:space="preserve">Nadir Eser                      </t>
  </si>
  <si>
    <t xml:space="preserve">Ciltli Süreli Yayın         </t>
  </si>
  <si>
    <t xml:space="preserve">E-Tez </t>
  </si>
  <si>
    <t>Harita Koleksiyonu</t>
  </si>
  <si>
    <t>Müze Koleksiyonu</t>
  </si>
  <si>
    <t>Abidin Dino Koleksiyonu (Elektronik)</t>
  </si>
  <si>
    <t>Eğitim Reformu Girişimi (ERI) Koleksiyonu</t>
  </si>
  <si>
    <t>E-Kitap</t>
  </si>
  <si>
    <t>Research Database</t>
  </si>
  <si>
    <t>Article</t>
  </si>
  <si>
    <t>Papers in Conference Proceedings</t>
  </si>
  <si>
    <t>Working Paper / Technical Report</t>
  </si>
  <si>
    <t>Book</t>
  </si>
  <si>
    <t>Book Section / Chapter</t>
  </si>
  <si>
    <t>Monograph</t>
  </si>
  <si>
    <t>Volumes Edited / Special Issues</t>
  </si>
  <si>
    <t>Book Review</t>
  </si>
  <si>
    <t>E-Student</t>
  </si>
  <si>
    <t>Süreli Yayın</t>
  </si>
  <si>
    <t xml:space="preserve">Basılı                         </t>
  </si>
  <si>
    <t xml:space="preserve">Basılı/Elektronik            </t>
  </si>
  <si>
    <t xml:space="preserve">Elektronik            </t>
  </si>
  <si>
    <t>Multimedya Koleksiyonu</t>
  </si>
  <si>
    <t xml:space="preserve">        Slayt                    </t>
  </si>
  <si>
    <t xml:space="preserve">        VCD             </t>
  </si>
  <si>
    <t xml:space="preserve">        DVD</t>
  </si>
  <si>
    <t xml:space="preserve">        CD-ROM                 </t>
  </si>
  <si>
    <t xml:space="preserve">        Videokaset          </t>
  </si>
  <si>
    <t xml:space="preserve">        Müzik CD                </t>
  </si>
  <si>
    <t xml:space="preserve">        Kaset</t>
  </si>
  <si>
    <t xml:space="preserve">        Audio Book</t>
  </si>
  <si>
    <t xml:space="preserve">        Computer file          </t>
  </si>
  <si>
    <t xml:space="preserve">        Web Site                   </t>
  </si>
  <si>
    <t xml:space="preserve">        Diğer </t>
  </si>
  <si>
    <t>Üniversite Tarihi Arşivi Koleksiyonu</t>
  </si>
  <si>
    <t>Basılı kitap</t>
  </si>
  <si>
    <t>Basılı Poster</t>
  </si>
  <si>
    <t>Basılı Broşür</t>
  </si>
  <si>
    <t>Basılı Katalog</t>
  </si>
  <si>
    <t>Basılı Fotoğraf</t>
  </si>
  <si>
    <t>Basılı Davetiye</t>
  </si>
  <si>
    <t>Basılı Program</t>
  </si>
  <si>
    <t>Basılı Sunum</t>
  </si>
  <si>
    <t>Basılı Rapor</t>
  </si>
  <si>
    <t>Basılı Dergi</t>
  </si>
  <si>
    <t>Basılı Mezuniyet Yıllığı</t>
  </si>
  <si>
    <t>Basılı Album</t>
  </si>
  <si>
    <t>Basılı Belge</t>
  </si>
  <si>
    <t>Basılı Form</t>
  </si>
  <si>
    <t>Basılı Makale</t>
  </si>
  <si>
    <t>Slayt</t>
  </si>
  <si>
    <t>E-kitap</t>
  </si>
  <si>
    <t>E-Poster</t>
  </si>
  <si>
    <t>E-Broşür</t>
  </si>
  <si>
    <t>E-Katalog</t>
  </si>
  <si>
    <t>E-Fotoğraf</t>
  </si>
  <si>
    <t>E-Davetiye</t>
  </si>
  <si>
    <t>E-Program</t>
  </si>
  <si>
    <t>E-Sunum</t>
  </si>
  <si>
    <t>E-Rapor</t>
  </si>
  <si>
    <t>E-Dergi</t>
  </si>
  <si>
    <t>E-Mezuniyet Yıllığı</t>
  </si>
  <si>
    <t>E-Album</t>
  </si>
  <si>
    <t>E-Belge</t>
  </si>
  <si>
    <t>E- Form</t>
  </si>
  <si>
    <t>E-Makale</t>
  </si>
  <si>
    <t>E-Transcript</t>
  </si>
  <si>
    <t xml:space="preserve">        Gazete Kupür     </t>
  </si>
  <si>
    <t>Ses Kaseti</t>
  </si>
  <si>
    <t>Ses Kaydı</t>
  </si>
  <si>
    <t>E-video</t>
  </si>
  <si>
    <t>3 Boyutlu Malzeme</t>
  </si>
  <si>
    <t>Ödül Malzemesi</t>
  </si>
  <si>
    <t>Sanat Eseri</t>
  </si>
  <si>
    <t>Veritabanı</t>
  </si>
  <si>
    <t xml:space="preserve">        Online                  </t>
  </si>
  <si>
    <t xml:space="preserve">        CD-ROM              </t>
  </si>
  <si>
    <t>TOPLAM</t>
  </si>
  <si>
    <t>Kitap Koleksiyonu</t>
  </si>
  <si>
    <t>Elektronikleşme Oranı</t>
  </si>
  <si>
    <t>Basılı</t>
  </si>
  <si>
    <t>Elektronik</t>
  </si>
  <si>
    <t>Süreli Yayınlar Koleksiyonu</t>
  </si>
  <si>
    <t>Dijitalize Olamayan (cd-rom, ses kaseti, saydam, 3 boyutlu malzeme, mikroform vs)</t>
  </si>
  <si>
    <t>Dijitalize Olan (DVD, Video, müzik cd, gazete kupür, dijital kayıt vs )</t>
  </si>
  <si>
    <t>E-Thesis ve E-lit</t>
  </si>
  <si>
    <t>E-Thesis</t>
  </si>
  <si>
    <t>E-lit</t>
  </si>
  <si>
    <t>Tüm Koleksiyon</t>
  </si>
  <si>
    <t>Basılı / Dijitalize edilemeyen multimedya bilgi kaynağı</t>
  </si>
  <si>
    <t>Ekitap Veritabanı 1</t>
  </si>
  <si>
    <t>Ekitap Veritabanı 2</t>
  </si>
  <si>
    <t>Ekitap Veritabanı 3</t>
  </si>
  <si>
    <t>Ekitap Veritabanı 4</t>
  </si>
  <si>
    <t>BİBLİYOGRAFİK KAYIT İSTATİSTİK FORMU - DİL</t>
  </si>
  <si>
    <t>Basılı Kaynak Sayısı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</si>
</sst>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162"/>
    </font>
    <font>
      <b/>
      <sz val="14"/>
      <name val="Arial"/>
      <family val="2"/>
      <charset val="162"/>
    </font>
    <font>
      <sz val="10"/>
      <name val="Arial"/>
      <family val="2"/>
      <charset val="162"/>
    </font>
    <font>
      <b/>
      <sz val="11"/>
      <color rgb="FFFF0000"/>
      <name val="Arial"/>
      <family val="2"/>
      <charset val="162"/>
    </font>
    <font>
      <b/>
      <sz val="10"/>
      <color rgb="FF000080"/>
      <name val="Arial"/>
      <family val="2"/>
      <charset val="162"/>
    </font>
    <font>
      <b/>
      <sz val="12"/>
      <color rgb="FFFF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2"/>
      <name val="Arial"/>
      <family val="2"/>
      <charset val="162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Calibri"/>
      <family val="2"/>
    </font>
    <font>
      <sz val="14"/>
      <name val="Arial"/>
      <family val="2"/>
      <charset val="162"/>
    </font>
    <font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90">
    <xf numFmtId="0" fontId="0" fillId="0" borderId="0" xfId="0"/>
    <xf numFmtId="0" fontId="1" fillId="2" borderId="0" xfId="1" applyFill="1"/>
    <xf numFmtId="0" fontId="1" fillId="2" borderId="1" xfId="1" applyFill="1" applyBorder="1"/>
    <xf numFmtId="0" fontId="3" fillId="2" borderId="0" xfId="2" applyFill="1"/>
    <xf numFmtId="0" fontId="5" fillId="2" borderId="2" xfId="2" applyFont="1" applyFill="1" applyBorder="1" applyAlignment="1">
      <alignment wrapText="1"/>
    </xf>
    <xf numFmtId="0" fontId="5" fillId="2" borderId="3" xfId="2" applyFont="1" applyFill="1" applyBorder="1" applyAlignment="1">
      <alignment wrapText="1"/>
    </xf>
    <xf numFmtId="0" fontId="6" fillId="2" borderId="3" xfId="2" applyFont="1" applyFill="1" applyBorder="1" applyAlignment="1">
      <alignment horizontal="right" wrapText="1"/>
    </xf>
    <xf numFmtId="0" fontId="7" fillId="2" borderId="4" xfId="2" applyFont="1" applyFill="1" applyBorder="1" applyAlignment="1">
      <alignment wrapText="1"/>
    </xf>
    <xf numFmtId="0" fontId="7" fillId="2" borderId="5" xfId="2" applyFont="1" applyFill="1" applyBorder="1" applyAlignment="1">
      <alignment wrapText="1"/>
    </xf>
    <xf numFmtId="0" fontId="8" fillId="2" borderId="5" xfId="2" applyFont="1" applyFill="1" applyBorder="1" applyAlignment="1">
      <alignment horizontal="right" wrapText="1"/>
    </xf>
    <xf numFmtId="0" fontId="9" fillId="2" borderId="4" xfId="2" applyFont="1" applyFill="1" applyBorder="1" applyAlignment="1">
      <alignment wrapText="1"/>
    </xf>
    <xf numFmtId="0" fontId="9" fillId="2" borderId="5" xfId="2" applyFont="1" applyFill="1" applyBorder="1" applyAlignment="1">
      <alignment wrapText="1"/>
    </xf>
    <xf numFmtId="0" fontId="11" fillId="3" borderId="0" xfId="2" applyFont="1" applyFill="1" applyBorder="1"/>
    <xf numFmtId="0" fontId="11" fillId="3" borderId="0" xfId="2" applyFont="1" applyFill="1" applyBorder="1" applyAlignment="1">
      <alignment horizontal="right"/>
    </xf>
    <xf numFmtId="0" fontId="11" fillId="4" borderId="0" xfId="2" applyFont="1" applyFill="1" applyBorder="1"/>
    <xf numFmtId="0" fontId="13" fillId="4" borderId="1" xfId="2" applyFont="1" applyFill="1" applyBorder="1"/>
    <xf numFmtId="0" fontId="13" fillId="3" borderId="1" xfId="2" applyFont="1" applyFill="1" applyBorder="1"/>
    <xf numFmtId="0" fontId="11" fillId="3" borderId="1" xfId="2" applyFont="1" applyFill="1" applyBorder="1" applyAlignment="1">
      <alignment horizontal="right"/>
    </xf>
    <xf numFmtId="0" fontId="11" fillId="3" borderId="1" xfId="2" applyFont="1" applyFill="1" applyBorder="1"/>
    <xf numFmtId="0" fontId="11" fillId="4" borderId="1" xfId="2" applyFont="1" applyFill="1" applyBorder="1"/>
    <xf numFmtId="0" fontId="14" fillId="4" borderId="1" xfId="2" applyFont="1" applyFill="1" applyBorder="1" applyAlignment="1"/>
    <xf numFmtId="1" fontId="14" fillId="3" borderId="1" xfId="2" applyNumberFormat="1" applyFont="1" applyFill="1" applyBorder="1"/>
    <xf numFmtId="0" fontId="18" fillId="2" borderId="1" xfId="2" applyFont="1" applyFill="1" applyBorder="1"/>
    <xf numFmtId="0" fontId="19" fillId="2" borderId="1" xfId="2" applyFont="1" applyFill="1" applyBorder="1"/>
    <xf numFmtId="0" fontId="3" fillId="2" borderId="0" xfId="2" applyFont="1" applyFill="1" applyAlignment="1"/>
    <xf numFmtId="0" fontId="2" fillId="2" borderId="1" xfId="1" applyFont="1" applyFill="1" applyBorder="1" applyAlignment="1">
      <alignment horizontal="center"/>
    </xf>
    <xf numFmtId="0" fontId="21" fillId="2" borderId="0" xfId="2" applyFont="1" applyFill="1" applyAlignment="1">
      <alignment horizontal="center"/>
    </xf>
    <xf numFmtId="0" fontId="20" fillId="2" borderId="0" xfId="2" applyFont="1" applyFill="1" applyAlignment="1">
      <alignment wrapText="1"/>
    </xf>
    <xf numFmtId="0" fontId="20" fillId="2" borderId="0" xfId="2" applyFont="1" applyFill="1"/>
    <xf numFmtId="0" fontId="21" fillId="2" borderId="6" xfId="2" applyFont="1" applyFill="1" applyBorder="1" applyAlignment="1">
      <alignment wrapText="1"/>
    </xf>
    <xf numFmtId="0" fontId="20" fillId="2" borderId="7" xfId="2" applyFont="1" applyFill="1" applyBorder="1"/>
    <xf numFmtId="0" fontId="20" fillId="2" borderId="8" xfId="2" applyFont="1" applyFill="1" applyBorder="1"/>
    <xf numFmtId="0" fontId="21" fillId="2" borderId="9" xfId="2" applyFont="1" applyFill="1" applyBorder="1"/>
    <xf numFmtId="0" fontId="20" fillId="2" borderId="10" xfId="2" applyFont="1" applyFill="1" applyBorder="1" applyAlignment="1">
      <alignment wrapText="1"/>
    </xf>
    <xf numFmtId="3" fontId="20" fillId="2" borderId="11" xfId="2" applyNumberFormat="1" applyFont="1" applyFill="1" applyBorder="1"/>
    <xf numFmtId="10" fontId="22" fillId="2" borderId="12" xfId="2" applyNumberFormat="1" applyFont="1" applyFill="1" applyBorder="1"/>
    <xf numFmtId="0" fontId="20" fillId="2" borderId="13" xfId="2" applyFont="1" applyFill="1" applyBorder="1"/>
    <xf numFmtId="0" fontId="20" fillId="2" borderId="14" xfId="2" applyFont="1" applyFill="1" applyBorder="1" applyAlignment="1">
      <alignment wrapText="1"/>
    </xf>
    <xf numFmtId="3" fontId="20" fillId="2" borderId="15" xfId="2" applyNumberFormat="1" applyFont="1" applyFill="1" applyBorder="1"/>
    <xf numFmtId="10" fontId="22" fillId="2" borderId="15" xfId="2" applyNumberFormat="1" applyFont="1" applyFill="1" applyBorder="1"/>
    <xf numFmtId="0" fontId="20" fillId="2" borderId="16" xfId="2" applyFont="1" applyFill="1" applyBorder="1"/>
    <xf numFmtId="10" fontId="22" fillId="2" borderId="16" xfId="2" applyNumberFormat="1" applyFont="1" applyFill="1" applyBorder="1"/>
    <xf numFmtId="0" fontId="20" fillId="2" borderId="15" xfId="2" applyFont="1" applyFill="1" applyBorder="1"/>
    <xf numFmtId="0" fontId="21" fillId="2" borderId="17" xfId="2" applyFont="1" applyFill="1" applyBorder="1" applyAlignment="1">
      <alignment wrapText="1"/>
    </xf>
    <xf numFmtId="0" fontId="20" fillId="2" borderId="18" xfId="2" applyFont="1" applyFill="1" applyBorder="1"/>
    <xf numFmtId="0" fontId="21" fillId="2" borderId="19" xfId="2" applyFont="1" applyFill="1" applyBorder="1"/>
    <xf numFmtId="0" fontId="23" fillId="2" borderId="20" xfId="2" applyFont="1" applyFill="1" applyBorder="1" applyAlignment="1">
      <alignment wrapText="1"/>
    </xf>
    <xf numFmtId="0" fontId="20" fillId="2" borderId="12" xfId="2" applyFont="1" applyFill="1" applyBorder="1"/>
    <xf numFmtId="0" fontId="21" fillId="2" borderId="21" xfId="2" applyFont="1" applyFill="1" applyBorder="1"/>
    <xf numFmtId="9" fontId="22" fillId="2" borderId="16" xfId="2" applyNumberFormat="1" applyFont="1" applyFill="1" applyBorder="1"/>
    <xf numFmtId="0" fontId="20" fillId="2" borderId="17" xfId="2" applyFont="1" applyFill="1" applyBorder="1" applyAlignment="1">
      <alignment wrapText="1"/>
    </xf>
    <xf numFmtId="3" fontId="20" fillId="2" borderId="18" xfId="2" applyNumberFormat="1" applyFont="1" applyFill="1" applyBorder="1"/>
    <xf numFmtId="10" fontId="22" fillId="2" borderId="19" xfId="2" applyNumberFormat="1" applyFont="1" applyFill="1" applyBorder="1"/>
    <xf numFmtId="3" fontId="20" fillId="2" borderId="0" xfId="2" applyNumberFormat="1" applyFont="1" applyFill="1"/>
    <xf numFmtId="0" fontId="15" fillId="3" borderId="22" xfId="0" applyFont="1" applyFill="1" applyBorder="1" applyAlignment="1">
      <alignment horizontal="left"/>
    </xf>
    <xf numFmtId="0" fontId="14" fillId="3" borderId="1" xfId="2" applyFont="1" applyFill="1" applyBorder="1"/>
    <xf numFmtId="0" fontId="14" fillId="4" borderId="1" xfId="2" applyFont="1" applyFill="1" applyBorder="1"/>
    <xf numFmtId="1" fontId="14" fillId="3" borderId="1" xfId="2" applyNumberFormat="1" applyFont="1" applyFill="1" applyBorder="1" applyAlignment="1"/>
    <xf numFmtId="0" fontId="16" fillId="3" borderId="1" xfId="2" applyFont="1" applyFill="1" applyBorder="1"/>
    <xf numFmtId="0" fontId="16" fillId="4" borderId="1" xfId="2" applyFont="1" applyFill="1" applyBorder="1"/>
    <xf numFmtId="3" fontId="14" fillId="3" borderId="1" xfId="2" applyNumberFormat="1" applyFont="1" applyFill="1" applyBorder="1"/>
    <xf numFmtId="3" fontId="14" fillId="4" borderId="1" xfId="2" applyNumberFormat="1" applyFont="1" applyFill="1" applyBorder="1" applyAlignment="1"/>
    <xf numFmtId="0" fontId="17" fillId="3" borderId="1" xfId="2" applyFont="1" applyFill="1" applyBorder="1"/>
    <xf numFmtId="0" fontId="17" fillId="4" borderId="1" xfId="2" applyFont="1" applyFill="1" applyBorder="1" applyAlignment="1"/>
    <xf numFmtId="0" fontId="11" fillId="3" borderId="22" xfId="2" applyFont="1" applyFill="1" applyBorder="1" applyAlignment="1">
      <alignment horizontal="left" wrapText="1"/>
    </xf>
    <xf numFmtId="0" fontId="11" fillId="3" borderId="22" xfId="2" applyFont="1" applyFill="1" applyBorder="1"/>
    <xf numFmtId="0" fontId="15" fillId="3" borderId="22" xfId="2" applyFont="1" applyFill="1" applyBorder="1"/>
    <xf numFmtId="0" fontId="15" fillId="3" borderId="22" xfId="2" applyFont="1" applyFill="1" applyBorder="1" applyAlignment="1">
      <alignment horizontal="left"/>
    </xf>
    <xf numFmtId="0" fontId="16" fillId="3" borderId="22" xfId="2" applyFont="1" applyFill="1" applyBorder="1" applyAlignment="1">
      <alignment horizontal="left"/>
    </xf>
    <xf numFmtId="0" fontId="11" fillId="3" borderId="22" xfId="2" applyFont="1" applyFill="1" applyBorder="1" applyAlignment="1">
      <alignment wrapText="1"/>
    </xf>
    <xf numFmtId="0" fontId="11" fillId="3" borderId="24" xfId="2" applyFont="1" applyFill="1" applyBorder="1"/>
    <xf numFmtId="3" fontId="11" fillId="3" borderId="25" xfId="2" applyNumberFormat="1" applyFont="1" applyFill="1" applyBorder="1"/>
    <xf numFmtId="1" fontId="14" fillId="3" borderId="25" xfId="2" applyNumberFormat="1" applyFont="1" applyFill="1" applyBorder="1"/>
    <xf numFmtId="3" fontId="11" fillId="4" borderId="25" xfId="2" applyNumberFormat="1" applyFont="1" applyFill="1" applyBorder="1"/>
    <xf numFmtId="0" fontId="3" fillId="2" borderId="0" xfId="2" applyFont="1" applyFill="1" applyAlignment="1">
      <alignment horizontal="center"/>
    </xf>
    <xf numFmtId="10" fontId="11" fillId="3" borderId="23" xfId="2" applyNumberFormat="1" applyFont="1" applyFill="1" applyBorder="1" applyAlignment="1">
      <alignment horizontal="center"/>
    </xf>
    <xf numFmtId="0" fontId="11" fillId="3" borderId="23" xfId="2" applyFont="1" applyFill="1" applyBorder="1" applyAlignment="1">
      <alignment horizontal="center"/>
    </xf>
    <xf numFmtId="10" fontId="14" fillId="3" borderId="23" xfId="2" applyNumberFormat="1" applyFont="1" applyFill="1" applyBorder="1" applyAlignment="1">
      <alignment horizontal="center"/>
    </xf>
    <xf numFmtId="0" fontId="14" fillId="3" borderId="23" xfId="2" applyFont="1" applyFill="1" applyBorder="1" applyAlignment="1">
      <alignment horizontal="center"/>
    </xf>
    <xf numFmtId="2" fontId="14" fillId="3" borderId="23" xfId="2" applyNumberFormat="1" applyFont="1" applyFill="1" applyBorder="1" applyAlignment="1">
      <alignment horizontal="center"/>
    </xf>
    <xf numFmtId="0" fontId="11" fillId="3" borderId="26" xfId="2" applyFont="1" applyFill="1" applyBorder="1" applyAlignment="1">
      <alignment horizontal="center"/>
    </xf>
    <xf numFmtId="10" fontId="11" fillId="3" borderId="0" xfId="2" applyNumberFormat="1" applyFont="1" applyFill="1" applyBorder="1" applyAlignment="1">
      <alignment horizontal="center"/>
    </xf>
    <xf numFmtId="0" fontId="11" fillId="3" borderId="22" xfId="2" applyFont="1" applyFill="1" applyBorder="1" applyAlignment="1">
      <alignment horizontal="center" wrapText="1"/>
    </xf>
    <xf numFmtId="0" fontId="12" fillId="2" borderId="1" xfId="2" applyFont="1" applyFill="1" applyBorder="1"/>
    <xf numFmtId="0" fontId="12" fillId="2" borderId="23" xfId="2" applyFont="1" applyFill="1" applyBorder="1"/>
    <xf numFmtId="0" fontId="11" fillId="3" borderId="27" xfId="2" applyFont="1" applyFill="1" applyBorder="1" applyAlignment="1"/>
    <xf numFmtId="0" fontId="0" fillId="2" borderId="28" xfId="0" applyFill="1" applyBorder="1" applyAlignment="1"/>
    <xf numFmtId="0" fontId="0" fillId="2" borderId="29" xfId="0" applyFill="1" applyBorder="1" applyAlignment="1"/>
    <xf numFmtId="0" fontId="10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wrapText="1"/>
    </xf>
  </cellXfs>
  <cellStyles count="4">
    <cellStyle name="Normal" xfId="0" builtinId="0"/>
    <cellStyle name="Normal 2" xfId="2" xr:uid="{A53A7AFA-A9E0-4DD9-BD55-5520D85798AA}"/>
    <cellStyle name="Normal 3" xfId="1" xr:uid="{3FC3503D-0E0D-47EC-A395-E26C4C66344F}"/>
    <cellStyle name="Percent 2" xfId="3" xr:uid="{00000000-0005-0000-0000-000032000000}"/>
  </cellStyles>
  <dxfs count="2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1998-2022İstatistik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8E763-B331-445E-8D02-DFBE8273BC8D}" name="Table_1" displayName="Table_1" ref="B6:R40" headerRowCount="0" headerRowDxfId="19" dataDxfId="18" totalsRowDxfId="17">
  <tableColumns count="17">
    <tableColumn id="1" xr3:uid="{AE9D7A10-C123-416E-8505-3725FDF76797}" name="Column1" dataDxfId="16"/>
    <tableColumn id="2" xr3:uid="{F269AA60-F9F9-4036-A5EF-8CACF98D0B46}" name="Column2" dataDxfId="15"/>
    <tableColumn id="3" xr3:uid="{1BE832DE-FE69-4149-B08C-53DE1869EBBE}" name="Column3" dataDxfId="14"/>
    <tableColumn id="4" xr3:uid="{81CAC4E1-BF65-49FB-A4FA-B9C2E6CB83C5}" name="Column4" dataDxfId="13"/>
    <tableColumn id="5" xr3:uid="{323EA546-AABD-4A8C-8D47-703284727FCC}" name="Column5" dataDxfId="12"/>
    <tableColumn id="15" xr3:uid="{6D873E2F-258D-4675-9573-5A1CE06206B4}" name="Column15" dataDxfId="11"/>
    <tableColumn id="16" xr3:uid="{C320237E-5B94-4CA6-9841-118F8F5589CB}" name="Column16" dataDxfId="10"/>
    <tableColumn id="17" xr3:uid="{467B3F98-47DE-45DE-9B66-6ABB7C96D373}" name="Column17" dataDxfId="9"/>
    <tableColumn id="18" xr3:uid="{09F688C8-0AF9-4A46-AB70-521B3C552BCF}" name="Column18" dataDxfId="8"/>
    <tableColumn id="19" xr3:uid="{963927BF-94CE-40BD-A026-99045CF83D97}" name="Column19" dataDxfId="7"/>
    <tableColumn id="20" xr3:uid="{EEFBAAF8-1B4A-4108-98EF-DB25BAC69AF4}" name="Column20" dataDxfId="6"/>
    <tableColumn id="21" xr3:uid="{097588AD-C50E-45B2-8711-D332FAA31A13}" name="Column21" dataDxfId="5"/>
    <tableColumn id="22" xr3:uid="{32F49A69-BBF6-4E9F-8241-04C378A56786}" name="Column22" dataDxfId="4"/>
    <tableColumn id="23" xr3:uid="{13758D38-393F-4CF4-9F6A-01CC75D3A7AD}" name="Column23" dataDxfId="3"/>
    <tableColumn id="24" xr3:uid="{2419ED27-4846-41AB-830D-DC0B80C52B3A}" name="Column24" dataDxfId="2"/>
    <tableColumn id="25" xr3:uid="{D42226E6-AD07-427D-9ADF-10609A10D5C9}" name="Column25" dataDxfId="1"/>
    <tableColumn id="26" xr3:uid="{50FE54F1-036A-436A-A7AA-ACCED3ECA707}" name="Column26" dataDxfId="0"/>
  </tableColumns>
  <tableStyleInfo name="1998-2022İstatisti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ADCD-58EE-43DC-87AB-5BC03D6E6D7E}">
  <dimension ref="B2:R963"/>
  <sheetViews>
    <sheetView tabSelected="1" workbookViewId="0">
      <selection activeCell="B4" sqref="B4:F4"/>
    </sheetView>
  </sheetViews>
  <sheetFormatPr defaultColWidth="14.42578125" defaultRowHeight="12.75" x14ac:dyDescent="0.2"/>
  <cols>
    <col min="1" max="1" width="14.42578125" style="24"/>
    <col min="2" max="2" width="36.7109375" style="24" customWidth="1"/>
    <col min="3" max="3" width="41.42578125" style="24" bestFit="1" customWidth="1"/>
    <col min="4" max="4" width="35.140625" style="24" bestFit="1" customWidth="1"/>
    <col min="5" max="5" width="26" style="24" bestFit="1" customWidth="1"/>
    <col min="6" max="6" width="18.42578125" style="74" customWidth="1"/>
    <col min="7" max="18" width="9.140625" style="24" customWidth="1"/>
    <col min="19" max="248" width="14.42578125" style="24"/>
    <col min="249" max="249" width="36.7109375" style="24" customWidth="1"/>
    <col min="250" max="250" width="41.42578125" style="24" bestFit="1" customWidth="1"/>
    <col min="251" max="251" width="35.140625" style="24" bestFit="1" customWidth="1"/>
    <col min="252" max="252" width="26" style="24" bestFit="1" customWidth="1"/>
    <col min="253" max="253" width="18.42578125" style="24" customWidth="1"/>
    <col min="254" max="254" width="21.28515625" style="24" customWidth="1"/>
    <col min="255" max="255" width="12.140625" style="24" customWidth="1"/>
    <col min="256" max="274" width="9.140625" style="24" customWidth="1"/>
    <col min="275" max="504" width="14.42578125" style="24"/>
    <col min="505" max="505" width="36.7109375" style="24" customWidth="1"/>
    <col min="506" max="506" width="41.42578125" style="24" bestFit="1" customWidth="1"/>
    <col min="507" max="507" width="35.140625" style="24" bestFit="1" customWidth="1"/>
    <col min="508" max="508" width="26" style="24" bestFit="1" customWidth="1"/>
    <col min="509" max="509" width="18.42578125" style="24" customWidth="1"/>
    <col min="510" max="510" width="21.28515625" style="24" customWidth="1"/>
    <col min="511" max="511" width="12.140625" style="24" customWidth="1"/>
    <col min="512" max="530" width="9.140625" style="24" customWidth="1"/>
    <col min="531" max="760" width="14.42578125" style="24"/>
    <col min="761" max="761" width="36.7109375" style="24" customWidth="1"/>
    <col min="762" max="762" width="41.42578125" style="24" bestFit="1" customWidth="1"/>
    <col min="763" max="763" width="35.140625" style="24" bestFit="1" customWidth="1"/>
    <col min="764" max="764" width="26" style="24" bestFit="1" customWidth="1"/>
    <col min="765" max="765" width="18.42578125" style="24" customWidth="1"/>
    <col min="766" max="766" width="21.28515625" style="24" customWidth="1"/>
    <col min="767" max="767" width="12.140625" style="24" customWidth="1"/>
    <col min="768" max="786" width="9.140625" style="24" customWidth="1"/>
    <col min="787" max="1016" width="14.42578125" style="24"/>
    <col min="1017" max="1017" width="36.7109375" style="24" customWidth="1"/>
    <col min="1018" max="1018" width="41.42578125" style="24" bestFit="1" customWidth="1"/>
    <col min="1019" max="1019" width="35.140625" style="24" bestFit="1" customWidth="1"/>
    <col min="1020" max="1020" width="26" style="24" bestFit="1" customWidth="1"/>
    <col min="1021" max="1021" width="18.42578125" style="24" customWidth="1"/>
    <col min="1022" max="1022" width="21.28515625" style="24" customWidth="1"/>
    <col min="1023" max="1023" width="12.140625" style="24" customWidth="1"/>
    <col min="1024" max="1042" width="9.140625" style="24" customWidth="1"/>
    <col min="1043" max="1272" width="14.42578125" style="24"/>
    <col min="1273" max="1273" width="36.7109375" style="24" customWidth="1"/>
    <col min="1274" max="1274" width="41.42578125" style="24" bestFit="1" customWidth="1"/>
    <col min="1275" max="1275" width="35.140625" style="24" bestFit="1" customWidth="1"/>
    <col min="1276" max="1276" width="26" style="24" bestFit="1" customWidth="1"/>
    <col min="1277" max="1277" width="18.42578125" style="24" customWidth="1"/>
    <col min="1278" max="1278" width="21.28515625" style="24" customWidth="1"/>
    <col min="1279" max="1279" width="12.140625" style="24" customWidth="1"/>
    <col min="1280" max="1298" width="9.140625" style="24" customWidth="1"/>
    <col min="1299" max="1528" width="14.42578125" style="24"/>
    <col min="1529" max="1529" width="36.7109375" style="24" customWidth="1"/>
    <col min="1530" max="1530" width="41.42578125" style="24" bestFit="1" customWidth="1"/>
    <col min="1531" max="1531" width="35.140625" style="24" bestFit="1" customWidth="1"/>
    <col min="1532" max="1532" width="26" style="24" bestFit="1" customWidth="1"/>
    <col min="1533" max="1533" width="18.42578125" style="24" customWidth="1"/>
    <col min="1534" max="1534" width="21.28515625" style="24" customWidth="1"/>
    <col min="1535" max="1535" width="12.140625" style="24" customWidth="1"/>
    <col min="1536" max="1554" width="9.140625" style="24" customWidth="1"/>
    <col min="1555" max="1784" width="14.42578125" style="24"/>
    <col min="1785" max="1785" width="36.7109375" style="24" customWidth="1"/>
    <col min="1786" max="1786" width="41.42578125" style="24" bestFit="1" customWidth="1"/>
    <col min="1787" max="1787" width="35.140625" style="24" bestFit="1" customWidth="1"/>
    <col min="1788" max="1788" width="26" style="24" bestFit="1" customWidth="1"/>
    <col min="1789" max="1789" width="18.42578125" style="24" customWidth="1"/>
    <col min="1790" max="1790" width="21.28515625" style="24" customWidth="1"/>
    <col min="1791" max="1791" width="12.140625" style="24" customWidth="1"/>
    <col min="1792" max="1810" width="9.140625" style="24" customWidth="1"/>
    <col min="1811" max="2040" width="14.42578125" style="24"/>
    <col min="2041" max="2041" width="36.7109375" style="24" customWidth="1"/>
    <col min="2042" max="2042" width="41.42578125" style="24" bestFit="1" customWidth="1"/>
    <col min="2043" max="2043" width="35.140625" style="24" bestFit="1" customWidth="1"/>
    <col min="2044" max="2044" width="26" style="24" bestFit="1" customWidth="1"/>
    <col min="2045" max="2045" width="18.42578125" style="24" customWidth="1"/>
    <col min="2046" max="2046" width="21.28515625" style="24" customWidth="1"/>
    <col min="2047" max="2047" width="12.140625" style="24" customWidth="1"/>
    <col min="2048" max="2066" width="9.140625" style="24" customWidth="1"/>
    <col min="2067" max="2296" width="14.42578125" style="24"/>
    <col min="2297" max="2297" width="36.7109375" style="24" customWidth="1"/>
    <col min="2298" max="2298" width="41.42578125" style="24" bestFit="1" customWidth="1"/>
    <col min="2299" max="2299" width="35.140625" style="24" bestFit="1" customWidth="1"/>
    <col min="2300" max="2300" width="26" style="24" bestFit="1" customWidth="1"/>
    <col min="2301" max="2301" width="18.42578125" style="24" customWidth="1"/>
    <col min="2302" max="2302" width="21.28515625" style="24" customWidth="1"/>
    <col min="2303" max="2303" width="12.140625" style="24" customWidth="1"/>
    <col min="2304" max="2322" width="9.140625" style="24" customWidth="1"/>
    <col min="2323" max="2552" width="14.42578125" style="24"/>
    <col min="2553" max="2553" width="36.7109375" style="24" customWidth="1"/>
    <col min="2554" max="2554" width="41.42578125" style="24" bestFit="1" customWidth="1"/>
    <col min="2555" max="2555" width="35.140625" style="24" bestFit="1" customWidth="1"/>
    <col min="2556" max="2556" width="26" style="24" bestFit="1" customWidth="1"/>
    <col min="2557" max="2557" width="18.42578125" style="24" customWidth="1"/>
    <col min="2558" max="2558" width="21.28515625" style="24" customWidth="1"/>
    <col min="2559" max="2559" width="12.140625" style="24" customWidth="1"/>
    <col min="2560" max="2578" width="9.140625" style="24" customWidth="1"/>
    <col min="2579" max="2808" width="14.42578125" style="24"/>
    <col min="2809" max="2809" width="36.7109375" style="24" customWidth="1"/>
    <col min="2810" max="2810" width="41.42578125" style="24" bestFit="1" customWidth="1"/>
    <col min="2811" max="2811" width="35.140625" style="24" bestFit="1" customWidth="1"/>
    <col min="2812" max="2812" width="26" style="24" bestFit="1" customWidth="1"/>
    <col min="2813" max="2813" width="18.42578125" style="24" customWidth="1"/>
    <col min="2814" max="2814" width="21.28515625" style="24" customWidth="1"/>
    <col min="2815" max="2815" width="12.140625" style="24" customWidth="1"/>
    <col min="2816" max="2834" width="9.140625" style="24" customWidth="1"/>
    <col min="2835" max="3064" width="14.42578125" style="24"/>
    <col min="3065" max="3065" width="36.7109375" style="24" customWidth="1"/>
    <col min="3066" max="3066" width="41.42578125" style="24" bestFit="1" customWidth="1"/>
    <col min="3067" max="3067" width="35.140625" style="24" bestFit="1" customWidth="1"/>
    <col min="3068" max="3068" width="26" style="24" bestFit="1" customWidth="1"/>
    <col min="3069" max="3069" width="18.42578125" style="24" customWidth="1"/>
    <col min="3070" max="3070" width="21.28515625" style="24" customWidth="1"/>
    <col min="3071" max="3071" width="12.140625" style="24" customWidth="1"/>
    <col min="3072" max="3090" width="9.140625" style="24" customWidth="1"/>
    <col min="3091" max="3320" width="14.42578125" style="24"/>
    <col min="3321" max="3321" width="36.7109375" style="24" customWidth="1"/>
    <col min="3322" max="3322" width="41.42578125" style="24" bestFit="1" customWidth="1"/>
    <col min="3323" max="3323" width="35.140625" style="24" bestFit="1" customWidth="1"/>
    <col min="3324" max="3324" width="26" style="24" bestFit="1" customWidth="1"/>
    <col min="3325" max="3325" width="18.42578125" style="24" customWidth="1"/>
    <col min="3326" max="3326" width="21.28515625" style="24" customWidth="1"/>
    <col min="3327" max="3327" width="12.140625" style="24" customWidth="1"/>
    <col min="3328" max="3346" width="9.140625" style="24" customWidth="1"/>
    <col min="3347" max="3576" width="14.42578125" style="24"/>
    <col min="3577" max="3577" width="36.7109375" style="24" customWidth="1"/>
    <col min="3578" max="3578" width="41.42578125" style="24" bestFit="1" customWidth="1"/>
    <col min="3579" max="3579" width="35.140625" style="24" bestFit="1" customWidth="1"/>
    <col min="3580" max="3580" width="26" style="24" bestFit="1" customWidth="1"/>
    <col min="3581" max="3581" width="18.42578125" style="24" customWidth="1"/>
    <col min="3582" max="3582" width="21.28515625" style="24" customWidth="1"/>
    <col min="3583" max="3583" width="12.140625" style="24" customWidth="1"/>
    <col min="3584" max="3602" width="9.140625" style="24" customWidth="1"/>
    <col min="3603" max="3832" width="14.42578125" style="24"/>
    <col min="3833" max="3833" width="36.7109375" style="24" customWidth="1"/>
    <col min="3834" max="3834" width="41.42578125" style="24" bestFit="1" customWidth="1"/>
    <col min="3835" max="3835" width="35.140625" style="24" bestFit="1" customWidth="1"/>
    <col min="3836" max="3836" width="26" style="24" bestFit="1" customWidth="1"/>
    <col min="3837" max="3837" width="18.42578125" style="24" customWidth="1"/>
    <col min="3838" max="3838" width="21.28515625" style="24" customWidth="1"/>
    <col min="3839" max="3839" width="12.140625" style="24" customWidth="1"/>
    <col min="3840" max="3858" width="9.140625" style="24" customWidth="1"/>
    <col min="3859" max="4088" width="14.42578125" style="24"/>
    <col min="4089" max="4089" width="36.7109375" style="24" customWidth="1"/>
    <col min="4090" max="4090" width="41.42578125" style="24" bestFit="1" customWidth="1"/>
    <col min="4091" max="4091" width="35.140625" style="24" bestFit="1" customWidth="1"/>
    <col min="4092" max="4092" width="26" style="24" bestFit="1" customWidth="1"/>
    <col min="4093" max="4093" width="18.42578125" style="24" customWidth="1"/>
    <col min="4094" max="4094" width="21.28515625" style="24" customWidth="1"/>
    <col min="4095" max="4095" width="12.140625" style="24" customWidth="1"/>
    <col min="4096" max="4114" width="9.140625" style="24" customWidth="1"/>
    <col min="4115" max="4344" width="14.42578125" style="24"/>
    <col min="4345" max="4345" width="36.7109375" style="24" customWidth="1"/>
    <col min="4346" max="4346" width="41.42578125" style="24" bestFit="1" customWidth="1"/>
    <col min="4347" max="4347" width="35.140625" style="24" bestFit="1" customWidth="1"/>
    <col min="4348" max="4348" width="26" style="24" bestFit="1" customWidth="1"/>
    <col min="4349" max="4349" width="18.42578125" style="24" customWidth="1"/>
    <col min="4350" max="4350" width="21.28515625" style="24" customWidth="1"/>
    <col min="4351" max="4351" width="12.140625" style="24" customWidth="1"/>
    <col min="4352" max="4370" width="9.140625" style="24" customWidth="1"/>
    <col min="4371" max="4600" width="14.42578125" style="24"/>
    <col min="4601" max="4601" width="36.7109375" style="24" customWidth="1"/>
    <col min="4602" max="4602" width="41.42578125" style="24" bestFit="1" customWidth="1"/>
    <col min="4603" max="4603" width="35.140625" style="24" bestFit="1" customWidth="1"/>
    <col min="4604" max="4604" width="26" style="24" bestFit="1" customWidth="1"/>
    <col min="4605" max="4605" width="18.42578125" style="24" customWidth="1"/>
    <col min="4606" max="4606" width="21.28515625" style="24" customWidth="1"/>
    <col min="4607" max="4607" width="12.140625" style="24" customWidth="1"/>
    <col min="4608" max="4626" width="9.140625" style="24" customWidth="1"/>
    <col min="4627" max="4856" width="14.42578125" style="24"/>
    <col min="4857" max="4857" width="36.7109375" style="24" customWidth="1"/>
    <col min="4858" max="4858" width="41.42578125" style="24" bestFit="1" customWidth="1"/>
    <col min="4859" max="4859" width="35.140625" style="24" bestFit="1" customWidth="1"/>
    <col min="4860" max="4860" width="26" style="24" bestFit="1" customWidth="1"/>
    <col min="4861" max="4861" width="18.42578125" style="24" customWidth="1"/>
    <col min="4862" max="4862" width="21.28515625" style="24" customWidth="1"/>
    <col min="4863" max="4863" width="12.140625" style="24" customWidth="1"/>
    <col min="4864" max="4882" width="9.140625" style="24" customWidth="1"/>
    <col min="4883" max="5112" width="14.42578125" style="24"/>
    <col min="5113" max="5113" width="36.7109375" style="24" customWidth="1"/>
    <col min="5114" max="5114" width="41.42578125" style="24" bestFit="1" customWidth="1"/>
    <col min="5115" max="5115" width="35.140625" style="24" bestFit="1" customWidth="1"/>
    <col min="5116" max="5116" width="26" style="24" bestFit="1" customWidth="1"/>
    <col min="5117" max="5117" width="18.42578125" style="24" customWidth="1"/>
    <col min="5118" max="5118" width="21.28515625" style="24" customWidth="1"/>
    <col min="5119" max="5119" width="12.140625" style="24" customWidth="1"/>
    <col min="5120" max="5138" width="9.140625" style="24" customWidth="1"/>
    <col min="5139" max="5368" width="14.42578125" style="24"/>
    <col min="5369" max="5369" width="36.7109375" style="24" customWidth="1"/>
    <col min="5370" max="5370" width="41.42578125" style="24" bestFit="1" customWidth="1"/>
    <col min="5371" max="5371" width="35.140625" style="24" bestFit="1" customWidth="1"/>
    <col min="5372" max="5372" width="26" style="24" bestFit="1" customWidth="1"/>
    <col min="5373" max="5373" width="18.42578125" style="24" customWidth="1"/>
    <col min="5374" max="5374" width="21.28515625" style="24" customWidth="1"/>
    <col min="5375" max="5375" width="12.140625" style="24" customWidth="1"/>
    <col min="5376" max="5394" width="9.140625" style="24" customWidth="1"/>
    <col min="5395" max="5624" width="14.42578125" style="24"/>
    <col min="5625" max="5625" width="36.7109375" style="24" customWidth="1"/>
    <col min="5626" max="5626" width="41.42578125" style="24" bestFit="1" customWidth="1"/>
    <col min="5627" max="5627" width="35.140625" style="24" bestFit="1" customWidth="1"/>
    <col min="5628" max="5628" width="26" style="24" bestFit="1" customWidth="1"/>
    <col min="5629" max="5629" width="18.42578125" style="24" customWidth="1"/>
    <col min="5630" max="5630" width="21.28515625" style="24" customWidth="1"/>
    <col min="5631" max="5631" width="12.140625" style="24" customWidth="1"/>
    <col min="5632" max="5650" width="9.140625" style="24" customWidth="1"/>
    <col min="5651" max="5880" width="14.42578125" style="24"/>
    <col min="5881" max="5881" width="36.7109375" style="24" customWidth="1"/>
    <col min="5882" max="5882" width="41.42578125" style="24" bestFit="1" customWidth="1"/>
    <col min="5883" max="5883" width="35.140625" style="24" bestFit="1" customWidth="1"/>
    <col min="5884" max="5884" width="26" style="24" bestFit="1" customWidth="1"/>
    <col min="5885" max="5885" width="18.42578125" style="24" customWidth="1"/>
    <col min="5886" max="5886" width="21.28515625" style="24" customWidth="1"/>
    <col min="5887" max="5887" width="12.140625" style="24" customWidth="1"/>
    <col min="5888" max="5906" width="9.140625" style="24" customWidth="1"/>
    <col min="5907" max="6136" width="14.42578125" style="24"/>
    <col min="6137" max="6137" width="36.7109375" style="24" customWidth="1"/>
    <col min="6138" max="6138" width="41.42578125" style="24" bestFit="1" customWidth="1"/>
    <col min="6139" max="6139" width="35.140625" style="24" bestFit="1" customWidth="1"/>
    <col min="6140" max="6140" width="26" style="24" bestFit="1" customWidth="1"/>
    <col min="6141" max="6141" width="18.42578125" style="24" customWidth="1"/>
    <col min="6142" max="6142" width="21.28515625" style="24" customWidth="1"/>
    <col min="6143" max="6143" width="12.140625" style="24" customWidth="1"/>
    <col min="6144" max="6162" width="9.140625" style="24" customWidth="1"/>
    <col min="6163" max="6392" width="14.42578125" style="24"/>
    <col min="6393" max="6393" width="36.7109375" style="24" customWidth="1"/>
    <col min="6394" max="6394" width="41.42578125" style="24" bestFit="1" customWidth="1"/>
    <col min="6395" max="6395" width="35.140625" style="24" bestFit="1" customWidth="1"/>
    <col min="6396" max="6396" width="26" style="24" bestFit="1" customWidth="1"/>
    <col min="6397" max="6397" width="18.42578125" style="24" customWidth="1"/>
    <col min="6398" max="6398" width="21.28515625" style="24" customWidth="1"/>
    <col min="6399" max="6399" width="12.140625" style="24" customWidth="1"/>
    <col min="6400" max="6418" width="9.140625" style="24" customWidth="1"/>
    <col min="6419" max="6648" width="14.42578125" style="24"/>
    <col min="6649" max="6649" width="36.7109375" style="24" customWidth="1"/>
    <col min="6650" max="6650" width="41.42578125" style="24" bestFit="1" customWidth="1"/>
    <col min="6651" max="6651" width="35.140625" style="24" bestFit="1" customWidth="1"/>
    <col min="6652" max="6652" width="26" style="24" bestFit="1" customWidth="1"/>
    <col min="6653" max="6653" width="18.42578125" style="24" customWidth="1"/>
    <col min="6654" max="6654" width="21.28515625" style="24" customWidth="1"/>
    <col min="6655" max="6655" width="12.140625" style="24" customWidth="1"/>
    <col min="6656" max="6674" width="9.140625" style="24" customWidth="1"/>
    <col min="6675" max="6904" width="14.42578125" style="24"/>
    <col min="6905" max="6905" width="36.7109375" style="24" customWidth="1"/>
    <col min="6906" max="6906" width="41.42578125" style="24" bestFit="1" customWidth="1"/>
    <col min="6907" max="6907" width="35.140625" style="24" bestFit="1" customWidth="1"/>
    <col min="6908" max="6908" width="26" style="24" bestFit="1" customWidth="1"/>
    <col min="6909" max="6909" width="18.42578125" style="24" customWidth="1"/>
    <col min="6910" max="6910" width="21.28515625" style="24" customWidth="1"/>
    <col min="6911" max="6911" width="12.140625" style="24" customWidth="1"/>
    <col min="6912" max="6930" width="9.140625" style="24" customWidth="1"/>
    <col min="6931" max="7160" width="14.42578125" style="24"/>
    <col min="7161" max="7161" width="36.7109375" style="24" customWidth="1"/>
    <col min="7162" max="7162" width="41.42578125" style="24" bestFit="1" customWidth="1"/>
    <col min="7163" max="7163" width="35.140625" style="24" bestFit="1" customWidth="1"/>
    <col min="7164" max="7164" width="26" style="24" bestFit="1" customWidth="1"/>
    <col min="7165" max="7165" width="18.42578125" style="24" customWidth="1"/>
    <col min="7166" max="7166" width="21.28515625" style="24" customWidth="1"/>
    <col min="7167" max="7167" width="12.140625" style="24" customWidth="1"/>
    <col min="7168" max="7186" width="9.140625" style="24" customWidth="1"/>
    <col min="7187" max="7416" width="14.42578125" style="24"/>
    <col min="7417" max="7417" width="36.7109375" style="24" customWidth="1"/>
    <col min="7418" max="7418" width="41.42578125" style="24" bestFit="1" customWidth="1"/>
    <col min="7419" max="7419" width="35.140625" style="24" bestFit="1" customWidth="1"/>
    <col min="7420" max="7420" width="26" style="24" bestFit="1" customWidth="1"/>
    <col min="7421" max="7421" width="18.42578125" style="24" customWidth="1"/>
    <col min="7422" max="7422" width="21.28515625" style="24" customWidth="1"/>
    <col min="7423" max="7423" width="12.140625" style="24" customWidth="1"/>
    <col min="7424" max="7442" width="9.140625" style="24" customWidth="1"/>
    <col min="7443" max="7672" width="14.42578125" style="24"/>
    <col min="7673" max="7673" width="36.7109375" style="24" customWidth="1"/>
    <col min="7674" max="7674" width="41.42578125" style="24" bestFit="1" customWidth="1"/>
    <col min="7675" max="7675" width="35.140625" style="24" bestFit="1" customWidth="1"/>
    <col min="7676" max="7676" width="26" style="24" bestFit="1" customWidth="1"/>
    <col min="7677" max="7677" width="18.42578125" style="24" customWidth="1"/>
    <col min="7678" max="7678" width="21.28515625" style="24" customWidth="1"/>
    <col min="7679" max="7679" width="12.140625" style="24" customWidth="1"/>
    <col min="7680" max="7698" width="9.140625" style="24" customWidth="1"/>
    <col min="7699" max="7928" width="14.42578125" style="24"/>
    <col min="7929" max="7929" width="36.7109375" style="24" customWidth="1"/>
    <col min="7930" max="7930" width="41.42578125" style="24" bestFit="1" customWidth="1"/>
    <col min="7931" max="7931" width="35.140625" style="24" bestFit="1" customWidth="1"/>
    <col min="7932" max="7932" width="26" style="24" bestFit="1" customWidth="1"/>
    <col min="7933" max="7933" width="18.42578125" style="24" customWidth="1"/>
    <col min="7934" max="7934" width="21.28515625" style="24" customWidth="1"/>
    <col min="7935" max="7935" width="12.140625" style="24" customWidth="1"/>
    <col min="7936" max="7954" width="9.140625" style="24" customWidth="1"/>
    <col min="7955" max="8184" width="14.42578125" style="24"/>
    <col min="8185" max="8185" width="36.7109375" style="24" customWidth="1"/>
    <col min="8186" max="8186" width="41.42578125" style="24" bestFit="1" customWidth="1"/>
    <col min="8187" max="8187" width="35.140625" style="24" bestFit="1" customWidth="1"/>
    <col min="8188" max="8188" width="26" style="24" bestFit="1" customWidth="1"/>
    <col min="8189" max="8189" width="18.42578125" style="24" customWidth="1"/>
    <col min="8190" max="8190" width="21.28515625" style="24" customWidth="1"/>
    <col min="8191" max="8191" width="12.140625" style="24" customWidth="1"/>
    <col min="8192" max="8210" width="9.140625" style="24" customWidth="1"/>
    <col min="8211" max="8440" width="14.42578125" style="24"/>
    <col min="8441" max="8441" width="36.7109375" style="24" customWidth="1"/>
    <col min="8442" max="8442" width="41.42578125" style="24" bestFit="1" customWidth="1"/>
    <col min="8443" max="8443" width="35.140625" style="24" bestFit="1" customWidth="1"/>
    <col min="8444" max="8444" width="26" style="24" bestFit="1" customWidth="1"/>
    <col min="8445" max="8445" width="18.42578125" style="24" customWidth="1"/>
    <col min="8446" max="8446" width="21.28515625" style="24" customWidth="1"/>
    <col min="8447" max="8447" width="12.140625" style="24" customWidth="1"/>
    <col min="8448" max="8466" width="9.140625" style="24" customWidth="1"/>
    <col min="8467" max="8696" width="14.42578125" style="24"/>
    <col min="8697" max="8697" width="36.7109375" style="24" customWidth="1"/>
    <col min="8698" max="8698" width="41.42578125" style="24" bestFit="1" customWidth="1"/>
    <col min="8699" max="8699" width="35.140625" style="24" bestFit="1" customWidth="1"/>
    <col min="8700" max="8700" width="26" style="24" bestFit="1" customWidth="1"/>
    <col min="8701" max="8701" width="18.42578125" style="24" customWidth="1"/>
    <col min="8702" max="8702" width="21.28515625" style="24" customWidth="1"/>
    <col min="8703" max="8703" width="12.140625" style="24" customWidth="1"/>
    <col min="8704" max="8722" width="9.140625" style="24" customWidth="1"/>
    <col min="8723" max="8952" width="14.42578125" style="24"/>
    <col min="8953" max="8953" width="36.7109375" style="24" customWidth="1"/>
    <col min="8954" max="8954" width="41.42578125" style="24" bestFit="1" customWidth="1"/>
    <col min="8955" max="8955" width="35.140625" style="24" bestFit="1" customWidth="1"/>
    <col min="8956" max="8956" width="26" style="24" bestFit="1" customWidth="1"/>
    <col min="8957" max="8957" width="18.42578125" style="24" customWidth="1"/>
    <col min="8958" max="8958" width="21.28515625" style="24" customWidth="1"/>
    <col min="8959" max="8959" width="12.140625" style="24" customWidth="1"/>
    <col min="8960" max="8978" width="9.140625" style="24" customWidth="1"/>
    <col min="8979" max="9208" width="14.42578125" style="24"/>
    <col min="9209" max="9209" width="36.7109375" style="24" customWidth="1"/>
    <col min="9210" max="9210" width="41.42578125" style="24" bestFit="1" customWidth="1"/>
    <col min="9211" max="9211" width="35.140625" style="24" bestFit="1" customWidth="1"/>
    <col min="9212" max="9212" width="26" style="24" bestFit="1" customWidth="1"/>
    <col min="9213" max="9213" width="18.42578125" style="24" customWidth="1"/>
    <col min="9214" max="9214" width="21.28515625" style="24" customWidth="1"/>
    <col min="9215" max="9215" width="12.140625" style="24" customWidth="1"/>
    <col min="9216" max="9234" width="9.140625" style="24" customWidth="1"/>
    <col min="9235" max="9464" width="14.42578125" style="24"/>
    <col min="9465" max="9465" width="36.7109375" style="24" customWidth="1"/>
    <col min="9466" max="9466" width="41.42578125" style="24" bestFit="1" customWidth="1"/>
    <col min="9467" max="9467" width="35.140625" style="24" bestFit="1" customWidth="1"/>
    <col min="9468" max="9468" width="26" style="24" bestFit="1" customWidth="1"/>
    <col min="9469" max="9469" width="18.42578125" style="24" customWidth="1"/>
    <col min="9470" max="9470" width="21.28515625" style="24" customWidth="1"/>
    <col min="9471" max="9471" width="12.140625" style="24" customWidth="1"/>
    <col min="9472" max="9490" width="9.140625" style="24" customWidth="1"/>
    <col min="9491" max="9720" width="14.42578125" style="24"/>
    <col min="9721" max="9721" width="36.7109375" style="24" customWidth="1"/>
    <col min="9722" max="9722" width="41.42578125" style="24" bestFit="1" customWidth="1"/>
    <col min="9723" max="9723" width="35.140625" style="24" bestFit="1" customWidth="1"/>
    <col min="9724" max="9724" width="26" style="24" bestFit="1" customWidth="1"/>
    <col min="9725" max="9725" width="18.42578125" style="24" customWidth="1"/>
    <col min="9726" max="9726" width="21.28515625" style="24" customWidth="1"/>
    <col min="9727" max="9727" width="12.140625" style="24" customWidth="1"/>
    <col min="9728" max="9746" width="9.140625" style="24" customWidth="1"/>
    <col min="9747" max="9976" width="14.42578125" style="24"/>
    <col min="9977" max="9977" width="36.7109375" style="24" customWidth="1"/>
    <col min="9978" max="9978" width="41.42578125" style="24" bestFit="1" customWidth="1"/>
    <col min="9979" max="9979" width="35.140625" style="24" bestFit="1" customWidth="1"/>
    <col min="9980" max="9980" width="26" style="24" bestFit="1" customWidth="1"/>
    <col min="9981" max="9981" width="18.42578125" style="24" customWidth="1"/>
    <col min="9982" max="9982" width="21.28515625" style="24" customWidth="1"/>
    <col min="9983" max="9983" width="12.140625" style="24" customWidth="1"/>
    <col min="9984" max="10002" width="9.140625" style="24" customWidth="1"/>
    <col min="10003" max="10232" width="14.42578125" style="24"/>
    <col min="10233" max="10233" width="36.7109375" style="24" customWidth="1"/>
    <col min="10234" max="10234" width="41.42578125" style="24" bestFit="1" customWidth="1"/>
    <col min="10235" max="10235" width="35.140625" style="24" bestFit="1" customWidth="1"/>
    <col min="10236" max="10236" width="26" style="24" bestFit="1" customWidth="1"/>
    <col min="10237" max="10237" width="18.42578125" style="24" customWidth="1"/>
    <col min="10238" max="10238" width="21.28515625" style="24" customWidth="1"/>
    <col min="10239" max="10239" width="12.140625" style="24" customWidth="1"/>
    <col min="10240" max="10258" width="9.140625" style="24" customWidth="1"/>
    <col min="10259" max="10488" width="14.42578125" style="24"/>
    <col min="10489" max="10489" width="36.7109375" style="24" customWidth="1"/>
    <col min="10490" max="10490" width="41.42578125" style="24" bestFit="1" customWidth="1"/>
    <col min="10491" max="10491" width="35.140625" style="24" bestFit="1" customWidth="1"/>
    <col min="10492" max="10492" width="26" style="24" bestFit="1" customWidth="1"/>
    <col min="10493" max="10493" width="18.42578125" style="24" customWidth="1"/>
    <col min="10494" max="10494" width="21.28515625" style="24" customWidth="1"/>
    <col min="10495" max="10495" width="12.140625" style="24" customWidth="1"/>
    <col min="10496" max="10514" width="9.140625" style="24" customWidth="1"/>
    <col min="10515" max="10744" width="14.42578125" style="24"/>
    <col min="10745" max="10745" width="36.7109375" style="24" customWidth="1"/>
    <col min="10746" max="10746" width="41.42578125" style="24" bestFit="1" customWidth="1"/>
    <col min="10747" max="10747" width="35.140625" style="24" bestFit="1" customWidth="1"/>
    <col min="10748" max="10748" width="26" style="24" bestFit="1" customWidth="1"/>
    <col min="10749" max="10749" width="18.42578125" style="24" customWidth="1"/>
    <col min="10750" max="10750" width="21.28515625" style="24" customWidth="1"/>
    <col min="10751" max="10751" width="12.140625" style="24" customWidth="1"/>
    <col min="10752" max="10770" width="9.140625" style="24" customWidth="1"/>
    <col min="10771" max="11000" width="14.42578125" style="24"/>
    <col min="11001" max="11001" width="36.7109375" style="24" customWidth="1"/>
    <col min="11002" max="11002" width="41.42578125" style="24" bestFit="1" customWidth="1"/>
    <col min="11003" max="11003" width="35.140625" style="24" bestFit="1" customWidth="1"/>
    <col min="11004" max="11004" width="26" style="24" bestFit="1" customWidth="1"/>
    <col min="11005" max="11005" width="18.42578125" style="24" customWidth="1"/>
    <col min="11006" max="11006" width="21.28515625" style="24" customWidth="1"/>
    <col min="11007" max="11007" width="12.140625" style="24" customWidth="1"/>
    <col min="11008" max="11026" width="9.140625" style="24" customWidth="1"/>
    <col min="11027" max="11256" width="14.42578125" style="24"/>
    <col min="11257" max="11257" width="36.7109375" style="24" customWidth="1"/>
    <col min="11258" max="11258" width="41.42578125" style="24" bestFit="1" customWidth="1"/>
    <col min="11259" max="11259" width="35.140625" style="24" bestFit="1" customWidth="1"/>
    <col min="11260" max="11260" width="26" style="24" bestFit="1" customWidth="1"/>
    <col min="11261" max="11261" width="18.42578125" style="24" customWidth="1"/>
    <col min="11262" max="11262" width="21.28515625" style="24" customWidth="1"/>
    <col min="11263" max="11263" width="12.140625" style="24" customWidth="1"/>
    <col min="11264" max="11282" width="9.140625" style="24" customWidth="1"/>
    <col min="11283" max="11512" width="14.42578125" style="24"/>
    <col min="11513" max="11513" width="36.7109375" style="24" customWidth="1"/>
    <col min="11514" max="11514" width="41.42578125" style="24" bestFit="1" customWidth="1"/>
    <col min="11515" max="11515" width="35.140625" style="24" bestFit="1" customWidth="1"/>
    <col min="11516" max="11516" width="26" style="24" bestFit="1" customWidth="1"/>
    <col min="11517" max="11517" width="18.42578125" style="24" customWidth="1"/>
    <col min="11518" max="11518" width="21.28515625" style="24" customWidth="1"/>
    <col min="11519" max="11519" width="12.140625" style="24" customWidth="1"/>
    <col min="11520" max="11538" width="9.140625" style="24" customWidth="1"/>
    <col min="11539" max="11768" width="14.42578125" style="24"/>
    <col min="11769" max="11769" width="36.7109375" style="24" customWidth="1"/>
    <col min="11770" max="11770" width="41.42578125" style="24" bestFit="1" customWidth="1"/>
    <col min="11771" max="11771" width="35.140625" style="24" bestFit="1" customWidth="1"/>
    <col min="11772" max="11772" width="26" style="24" bestFit="1" customWidth="1"/>
    <col min="11773" max="11773" width="18.42578125" style="24" customWidth="1"/>
    <col min="11774" max="11774" width="21.28515625" style="24" customWidth="1"/>
    <col min="11775" max="11775" width="12.140625" style="24" customWidth="1"/>
    <col min="11776" max="11794" width="9.140625" style="24" customWidth="1"/>
    <col min="11795" max="12024" width="14.42578125" style="24"/>
    <col min="12025" max="12025" width="36.7109375" style="24" customWidth="1"/>
    <col min="12026" max="12026" width="41.42578125" style="24" bestFit="1" customWidth="1"/>
    <col min="12027" max="12027" width="35.140625" style="24" bestFit="1" customWidth="1"/>
    <col min="12028" max="12028" width="26" style="24" bestFit="1" customWidth="1"/>
    <col min="12029" max="12029" width="18.42578125" style="24" customWidth="1"/>
    <col min="12030" max="12030" width="21.28515625" style="24" customWidth="1"/>
    <col min="12031" max="12031" width="12.140625" style="24" customWidth="1"/>
    <col min="12032" max="12050" width="9.140625" style="24" customWidth="1"/>
    <col min="12051" max="12280" width="14.42578125" style="24"/>
    <col min="12281" max="12281" width="36.7109375" style="24" customWidth="1"/>
    <col min="12282" max="12282" width="41.42578125" style="24" bestFit="1" customWidth="1"/>
    <col min="12283" max="12283" width="35.140625" style="24" bestFit="1" customWidth="1"/>
    <col min="12284" max="12284" width="26" style="24" bestFit="1" customWidth="1"/>
    <col min="12285" max="12285" width="18.42578125" style="24" customWidth="1"/>
    <col min="12286" max="12286" width="21.28515625" style="24" customWidth="1"/>
    <col min="12287" max="12287" width="12.140625" style="24" customWidth="1"/>
    <col min="12288" max="12306" width="9.140625" style="24" customWidth="1"/>
    <col min="12307" max="12536" width="14.42578125" style="24"/>
    <col min="12537" max="12537" width="36.7109375" style="24" customWidth="1"/>
    <col min="12538" max="12538" width="41.42578125" style="24" bestFit="1" customWidth="1"/>
    <col min="12539" max="12539" width="35.140625" style="24" bestFit="1" customWidth="1"/>
    <col min="12540" max="12540" width="26" style="24" bestFit="1" customWidth="1"/>
    <col min="12541" max="12541" width="18.42578125" style="24" customWidth="1"/>
    <col min="12542" max="12542" width="21.28515625" style="24" customWidth="1"/>
    <col min="12543" max="12543" width="12.140625" style="24" customWidth="1"/>
    <col min="12544" max="12562" width="9.140625" style="24" customWidth="1"/>
    <col min="12563" max="12792" width="14.42578125" style="24"/>
    <col min="12793" max="12793" width="36.7109375" style="24" customWidth="1"/>
    <col min="12794" max="12794" width="41.42578125" style="24" bestFit="1" customWidth="1"/>
    <col min="12795" max="12795" width="35.140625" style="24" bestFit="1" customWidth="1"/>
    <col min="12796" max="12796" width="26" style="24" bestFit="1" customWidth="1"/>
    <col min="12797" max="12797" width="18.42578125" style="24" customWidth="1"/>
    <col min="12798" max="12798" width="21.28515625" style="24" customWidth="1"/>
    <col min="12799" max="12799" width="12.140625" style="24" customWidth="1"/>
    <col min="12800" max="12818" width="9.140625" style="24" customWidth="1"/>
    <col min="12819" max="13048" width="14.42578125" style="24"/>
    <col min="13049" max="13049" width="36.7109375" style="24" customWidth="1"/>
    <col min="13050" max="13050" width="41.42578125" style="24" bestFit="1" customWidth="1"/>
    <col min="13051" max="13051" width="35.140625" style="24" bestFit="1" customWidth="1"/>
    <col min="13052" max="13052" width="26" style="24" bestFit="1" customWidth="1"/>
    <col min="13053" max="13053" width="18.42578125" style="24" customWidth="1"/>
    <col min="13054" max="13054" width="21.28515625" style="24" customWidth="1"/>
    <col min="13055" max="13055" width="12.140625" style="24" customWidth="1"/>
    <col min="13056" max="13074" width="9.140625" style="24" customWidth="1"/>
    <col min="13075" max="13304" width="14.42578125" style="24"/>
    <col min="13305" max="13305" width="36.7109375" style="24" customWidth="1"/>
    <col min="13306" max="13306" width="41.42578125" style="24" bestFit="1" customWidth="1"/>
    <col min="13307" max="13307" width="35.140625" style="24" bestFit="1" customWidth="1"/>
    <col min="13308" max="13308" width="26" style="24" bestFit="1" customWidth="1"/>
    <col min="13309" max="13309" width="18.42578125" style="24" customWidth="1"/>
    <col min="13310" max="13310" width="21.28515625" style="24" customWidth="1"/>
    <col min="13311" max="13311" width="12.140625" style="24" customWidth="1"/>
    <col min="13312" max="13330" width="9.140625" style="24" customWidth="1"/>
    <col min="13331" max="13560" width="14.42578125" style="24"/>
    <col min="13561" max="13561" width="36.7109375" style="24" customWidth="1"/>
    <col min="13562" max="13562" width="41.42578125" style="24" bestFit="1" customWidth="1"/>
    <col min="13563" max="13563" width="35.140625" style="24" bestFit="1" customWidth="1"/>
    <col min="13564" max="13564" width="26" style="24" bestFit="1" customWidth="1"/>
    <col min="13565" max="13565" width="18.42578125" style="24" customWidth="1"/>
    <col min="13566" max="13566" width="21.28515625" style="24" customWidth="1"/>
    <col min="13567" max="13567" width="12.140625" style="24" customWidth="1"/>
    <col min="13568" max="13586" width="9.140625" style="24" customWidth="1"/>
    <col min="13587" max="13816" width="14.42578125" style="24"/>
    <col min="13817" max="13817" width="36.7109375" style="24" customWidth="1"/>
    <col min="13818" max="13818" width="41.42578125" style="24" bestFit="1" customWidth="1"/>
    <col min="13819" max="13819" width="35.140625" style="24" bestFit="1" customWidth="1"/>
    <col min="13820" max="13820" width="26" style="24" bestFit="1" customWidth="1"/>
    <col min="13821" max="13821" width="18.42578125" style="24" customWidth="1"/>
    <col min="13822" max="13822" width="21.28515625" style="24" customWidth="1"/>
    <col min="13823" max="13823" width="12.140625" style="24" customWidth="1"/>
    <col min="13824" max="13842" width="9.140625" style="24" customWidth="1"/>
    <col min="13843" max="14072" width="14.42578125" style="24"/>
    <col min="14073" max="14073" width="36.7109375" style="24" customWidth="1"/>
    <col min="14074" max="14074" width="41.42578125" style="24" bestFit="1" customWidth="1"/>
    <col min="14075" max="14075" width="35.140625" style="24" bestFit="1" customWidth="1"/>
    <col min="14076" max="14076" width="26" style="24" bestFit="1" customWidth="1"/>
    <col min="14077" max="14077" width="18.42578125" style="24" customWidth="1"/>
    <col min="14078" max="14078" width="21.28515625" style="24" customWidth="1"/>
    <col min="14079" max="14079" width="12.140625" style="24" customWidth="1"/>
    <col min="14080" max="14098" width="9.140625" style="24" customWidth="1"/>
    <col min="14099" max="14328" width="14.42578125" style="24"/>
    <col min="14329" max="14329" width="36.7109375" style="24" customWidth="1"/>
    <col min="14330" max="14330" width="41.42578125" style="24" bestFit="1" customWidth="1"/>
    <col min="14331" max="14331" width="35.140625" style="24" bestFit="1" customWidth="1"/>
    <col min="14332" max="14332" width="26" style="24" bestFit="1" customWidth="1"/>
    <col min="14333" max="14333" width="18.42578125" style="24" customWidth="1"/>
    <col min="14334" max="14334" width="21.28515625" style="24" customWidth="1"/>
    <col min="14335" max="14335" width="12.140625" style="24" customWidth="1"/>
    <col min="14336" max="14354" width="9.140625" style="24" customWidth="1"/>
    <col min="14355" max="14584" width="14.42578125" style="24"/>
    <col min="14585" max="14585" width="36.7109375" style="24" customWidth="1"/>
    <col min="14586" max="14586" width="41.42578125" style="24" bestFit="1" customWidth="1"/>
    <col min="14587" max="14587" width="35.140625" style="24" bestFit="1" customWidth="1"/>
    <col min="14588" max="14588" width="26" style="24" bestFit="1" customWidth="1"/>
    <col min="14589" max="14589" width="18.42578125" style="24" customWidth="1"/>
    <col min="14590" max="14590" width="21.28515625" style="24" customWidth="1"/>
    <col min="14591" max="14591" width="12.140625" style="24" customWidth="1"/>
    <col min="14592" max="14610" width="9.140625" style="24" customWidth="1"/>
    <col min="14611" max="14840" width="14.42578125" style="24"/>
    <col min="14841" max="14841" width="36.7109375" style="24" customWidth="1"/>
    <col min="14842" max="14842" width="41.42578125" style="24" bestFit="1" customWidth="1"/>
    <col min="14843" max="14843" width="35.140625" style="24" bestFit="1" customWidth="1"/>
    <col min="14844" max="14844" width="26" style="24" bestFit="1" customWidth="1"/>
    <col min="14845" max="14845" width="18.42578125" style="24" customWidth="1"/>
    <col min="14846" max="14846" width="21.28515625" style="24" customWidth="1"/>
    <col min="14847" max="14847" width="12.140625" style="24" customWidth="1"/>
    <col min="14848" max="14866" width="9.140625" style="24" customWidth="1"/>
    <col min="14867" max="15096" width="14.42578125" style="24"/>
    <col min="15097" max="15097" width="36.7109375" style="24" customWidth="1"/>
    <col min="15098" max="15098" width="41.42578125" style="24" bestFit="1" customWidth="1"/>
    <col min="15099" max="15099" width="35.140625" style="24" bestFit="1" customWidth="1"/>
    <col min="15100" max="15100" width="26" style="24" bestFit="1" customWidth="1"/>
    <col min="15101" max="15101" width="18.42578125" style="24" customWidth="1"/>
    <col min="15102" max="15102" width="21.28515625" style="24" customWidth="1"/>
    <col min="15103" max="15103" width="12.140625" style="24" customWidth="1"/>
    <col min="15104" max="15122" width="9.140625" style="24" customWidth="1"/>
    <col min="15123" max="15352" width="14.42578125" style="24"/>
    <col min="15353" max="15353" width="36.7109375" style="24" customWidth="1"/>
    <col min="15354" max="15354" width="41.42578125" style="24" bestFit="1" customWidth="1"/>
    <col min="15355" max="15355" width="35.140625" style="24" bestFit="1" customWidth="1"/>
    <col min="15356" max="15356" width="26" style="24" bestFit="1" customWidth="1"/>
    <col min="15357" max="15357" width="18.42578125" style="24" customWidth="1"/>
    <col min="15358" max="15358" width="21.28515625" style="24" customWidth="1"/>
    <col min="15359" max="15359" width="12.140625" style="24" customWidth="1"/>
    <col min="15360" max="15378" width="9.140625" style="24" customWidth="1"/>
    <col min="15379" max="15608" width="14.42578125" style="24"/>
    <col min="15609" max="15609" width="36.7109375" style="24" customWidth="1"/>
    <col min="15610" max="15610" width="41.42578125" style="24" bestFit="1" customWidth="1"/>
    <col min="15611" max="15611" width="35.140625" style="24" bestFit="1" customWidth="1"/>
    <col min="15612" max="15612" width="26" style="24" bestFit="1" customWidth="1"/>
    <col min="15613" max="15613" width="18.42578125" style="24" customWidth="1"/>
    <col min="15614" max="15614" width="21.28515625" style="24" customWidth="1"/>
    <col min="15615" max="15615" width="12.140625" style="24" customWidth="1"/>
    <col min="15616" max="15634" width="9.140625" style="24" customWidth="1"/>
    <col min="15635" max="15864" width="14.42578125" style="24"/>
    <col min="15865" max="15865" width="36.7109375" style="24" customWidth="1"/>
    <col min="15866" max="15866" width="41.42578125" style="24" bestFit="1" customWidth="1"/>
    <col min="15867" max="15867" width="35.140625" style="24" bestFit="1" customWidth="1"/>
    <col min="15868" max="15868" width="26" style="24" bestFit="1" customWidth="1"/>
    <col min="15869" max="15869" width="18.42578125" style="24" customWidth="1"/>
    <col min="15870" max="15870" width="21.28515625" style="24" customWidth="1"/>
    <col min="15871" max="15871" width="12.140625" style="24" customWidth="1"/>
    <col min="15872" max="15890" width="9.140625" style="24" customWidth="1"/>
    <col min="15891" max="16120" width="14.42578125" style="24"/>
    <col min="16121" max="16121" width="36.7109375" style="24" customWidth="1"/>
    <col min="16122" max="16122" width="41.42578125" style="24" bestFit="1" customWidth="1"/>
    <col min="16123" max="16123" width="35.140625" style="24" bestFit="1" customWidth="1"/>
    <col min="16124" max="16124" width="26" style="24" bestFit="1" customWidth="1"/>
    <col min="16125" max="16125" width="18.42578125" style="24" customWidth="1"/>
    <col min="16126" max="16126" width="21.28515625" style="24" customWidth="1"/>
    <col min="16127" max="16127" width="12.140625" style="24" customWidth="1"/>
    <col min="16128" max="16146" width="9.140625" style="24" customWidth="1"/>
    <col min="16147" max="16384" width="14.42578125" style="24"/>
  </cols>
  <sheetData>
    <row r="2" spans="2:18" ht="13.5" thickBot="1" x14ac:dyDescent="0.25"/>
    <row r="3" spans="2:18" ht="18" customHeight="1" x14ac:dyDescent="0.25">
      <c r="B3" s="85"/>
      <c r="C3" s="86"/>
      <c r="D3" s="86"/>
      <c r="E3" s="86"/>
      <c r="F3" s="87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2:18" ht="18" customHeight="1" x14ac:dyDescent="0.25">
      <c r="B4" s="82" t="s">
        <v>103</v>
      </c>
      <c r="C4" s="83"/>
      <c r="D4" s="83"/>
      <c r="E4" s="83"/>
      <c r="F4" s="8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2:18" ht="18" customHeight="1" x14ac:dyDescent="0.25">
      <c r="B5" s="82" t="s">
        <v>104</v>
      </c>
      <c r="C5" s="83"/>
      <c r="D5" s="83"/>
      <c r="E5" s="83"/>
      <c r="F5" s="84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2:18" ht="18" customHeight="1" x14ac:dyDescent="0.25">
      <c r="B6" s="64" t="s">
        <v>105</v>
      </c>
      <c r="C6" s="15" t="s">
        <v>106</v>
      </c>
      <c r="D6" s="16" t="s">
        <v>107</v>
      </c>
      <c r="E6" s="15" t="s">
        <v>108</v>
      </c>
      <c r="F6" s="75" t="s">
        <v>109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2:18" ht="18" customHeight="1" x14ac:dyDescent="0.25">
      <c r="B7" s="65" t="s">
        <v>110</v>
      </c>
      <c r="C7" s="17"/>
      <c r="D7" s="18"/>
      <c r="E7" s="19"/>
      <c r="F7" s="76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2:18" ht="18" customHeight="1" x14ac:dyDescent="0.25">
      <c r="B8" s="66" t="s">
        <v>111</v>
      </c>
      <c r="C8" s="20"/>
      <c r="D8" s="21"/>
      <c r="E8" s="20"/>
      <c r="F8" s="77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2:18" ht="18" customHeight="1" x14ac:dyDescent="0.25">
      <c r="B9" s="67" t="s">
        <v>112</v>
      </c>
      <c r="C9" s="55"/>
      <c r="D9" s="21"/>
      <c r="E9" s="56"/>
      <c r="F9" s="77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2:18" ht="18" customHeight="1" x14ac:dyDescent="0.25">
      <c r="B10" s="67" t="s">
        <v>113</v>
      </c>
      <c r="C10" s="20"/>
      <c r="D10" s="21"/>
      <c r="E10" s="20"/>
      <c r="F10" s="77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2:18" ht="18" customHeight="1" x14ac:dyDescent="0.25">
      <c r="B11" s="67" t="s">
        <v>114</v>
      </c>
      <c r="C11" s="20"/>
      <c r="D11" s="21"/>
      <c r="E11" s="20"/>
      <c r="F11" s="77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2:18" ht="18" customHeight="1" x14ac:dyDescent="0.25">
      <c r="B12" s="67" t="s">
        <v>115</v>
      </c>
      <c r="C12" s="20"/>
      <c r="D12" s="21"/>
      <c r="E12" s="20"/>
      <c r="F12" s="7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2:18" ht="18" customHeight="1" x14ac:dyDescent="0.25">
      <c r="B13" s="67" t="s">
        <v>116</v>
      </c>
      <c r="C13" s="20"/>
      <c r="D13" s="21"/>
      <c r="E13" s="20"/>
      <c r="F13" s="77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2:18" ht="18" customHeight="1" x14ac:dyDescent="0.25">
      <c r="B14" s="67" t="s">
        <v>117</v>
      </c>
      <c r="C14" s="20"/>
      <c r="D14" s="21"/>
      <c r="E14" s="20"/>
      <c r="F14" s="77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 ht="18" customHeight="1" x14ac:dyDescent="0.25">
      <c r="B15" s="67" t="s">
        <v>118</v>
      </c>
      <c r="C15" s="20"/>
      <c r="D15" s="21"/>
      <c r="E15" s="20"/>
      <c r="F15" s="7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 ht="18" customHeight="1" x14ac:dyDescent="0.25">
      <c r="B16" s="67" t="s">
        <v>119</v>
      </c>
      <c r="C16" s="20"/>
      <c r="D16" s="21"/>
      <c r="E16" s="20"/>
      <c r="F16" s="77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 ht="18" customHeight="1" x14ac:dyDescent="0.25">
      <c r="B17" s="67" t="s">
        <v>120</v>
      </c>
      <c r="C17" s="20"/>
      <c r="D17" s="21"/>
      <c r="E17" s="20"/>
      <c r="F17" s="77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2:18" ht="18" customHeight="1" x14ac:dyDescent="0.25">
      <c r="B18" s="67" t="s">
        <v>121</v>
      </c>
      <c r="C18" s="20"/>
      <c r="D18" s="21"/>
      <c r="E18" s="20"/>
      <c r="F18" s="7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2:18" ht="18" customHeight="1" x14ac:dyDescent="0.25">
      <c r="B19" s="67" t="s">
        <v>122</v>
      </c>
      <c r="C19" s="20"/>
      <c r="D19" s="21"/>
      <c r="E19" s="20"/>
      <c r="F19" s="7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2:18" ht="18" customHeight="1" x14ac:dyDescent="0.25">
      <c r="B20" s="67" t="s">
        <v>123</v>
      </c>
      <c r="C20" s="20"/>
      <c r="D20" s="57"/>
      <c r="E20" s="20"/>
      <c r="F20" s="77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 ht="18" customHeight="1" x14ac:dyDescent="0.3">
      <c r="B21" s="68" t="s">
        <v>100</v>
      </c>
      <c r="C21" s="58"/>
      <c r="D21" s="21"/>
      <c r="E21" s="59"/>
      <c r="F21" s="77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2:18" ht="18" customHeight="1" x14ac:dyDescent="0.25">
      <c r="B22" s="65" t="s">
        <v>124</v>
      </c>
      <c r="C22" s="60"/>
      <c r="D22" s="21"/>
      <c r="E22" s="61"/>
      <c r="F22" s="7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2:18" ht="18" customHeight="1" x14ac:dyDescent="0.25">
      <c r="B23" s="69" t="s">
        <v>125</v>
      </c>
      <c r="C23" s="60"/>
      <c r="D23" s="21"/>
      <c r="E23" s="61"/>
      <c r="F23" s="7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2:18" ht="18" customHeight="1" x14ac:dyDescent="0.25">
      <c r="B24" s="64" t="s">
        <v>126</v>
      </c>
      <c r="C24" s="60"/>
      <c r="D24" s="21"/>
      <c r="E24" s="61"/>
      <c r="F24" s="78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2:18" ht="18" customHeight="1" x14ac:dyDescent="0.25">
      <c r="B25" s="65" t="s">
        <v>127</v>
      </c>
      <c r="C25" s="18"/>
      <c r="D25" s="21"/>
      <c r="E25" s="19"/>
      <c r="F25" s="7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2:18" ht="18" customHeight="1" x14ac:dyDescent="0.3">
      <c r="B26" s="54" t="s">
        <v>210</v>
      </c>
      <c r="C26" s="62"/>
      <c r="D26" s="21"/>
      <c r="E26" s="63"/>
      <c r="F26" s="77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2:18" ht="18" customHeight="1" x14ac:dyDescent="0.3">
      <c r="B27" s="54" t="s">
        <v>211</v>
      </c>
      <c r="C27" s="55"/>
      <c r="D27" s="21"/>
      <c r="E27" s="63"/>
      <c r="F27" s="77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2:18" ht="18" customHeight="1" x14ac:dyDescent="0.3">
      <c r="B28" s="54" t="s">
        <v>212</v>
      </c>
      <c r="C28" s="55"/>
      <c r="D28" s="21"/>
      <c r="E28" s="63"/>
      <c r="F28" s="77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2:18" ht="18" customHeight="1" x14ac:dyDescent="0.3">
      <c r="B29" s="54" t="s">
        <v>213</v>
      </c>
      <c r="C29" s="55"/>
      <c r="D29" s="21"/>
      <c r="E29" s="63"/>
      <c r="F29" s="77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2:18" ht="18" customHeight="1" x14ac:dyDescent="0.3">
      <c r="B30" s="68" t="s">
        <v>100</v>
      </c>
      <c r="C30" s="58"/>
      <c r="D30" s="21"/>
      <c r="E30" s="59"/>
      <c r="F30" s="79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2:18" ht="18" customHeight="1" x14ac:dyDescent="0.25">
      <c r="B31" s="65" t="s">
        <v>128</v>
      </c>
      <c r="C31" s="56"/>
      <c r="D31" s="21"/>
      <c r="E31" s="56"/>
      <c r="F31" s="7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 ht="18" customHeight="1" x14ac:dyDescent="0.25">
      <c r="B32" s="67" t="s">
        <v>129</v>
      </c>
      <c r="C32" s="20"/>
      <c r="D32" s="21"/>
      <c r="E32" s="20"/>
      <c r="F32" s="7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2:18" ht="18" customHeight="1" x14ac:dyDescent="0.25">
      <c r="B33" s="67" t="s">
        <v>130</v>
      </c>
      <c r="C33" s="20"/>
      <c r="D33" s="21"/>
      <c r="E33" s="20"/>
      <c r="F33" s="7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2:18" ht="18" customHeight="1" x14ac:dyDescent="0.25">
      <c r="B34" s="67" t="s">
        <v>131</v>
      </c>
      <c r="C34" s="20"/>
      <c r="D34" s="21"/>
      <c r="E34" s="20"/>
      <c r="F34" s="76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2:18" ht="18" customHeight="1" x14ac:dyDescent="0.25">
      <c r="B35" s="67" t="s">
        <v>132</v>
      </c>
      <c r="C35" s="20"/>
      <c r="D35" s="21"/>
      <c r="E35" s="20"/>
      <c r="F35" s="76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2:18" ht="18" customHeight="1" x14ac:dyDescent="0.25">
      <c r="B36" s="67" t="s">
        <v>133</v>
      </c>
      <c r="C36" s="20"/>
      <c r="D36" s="21"/>
      <c r="E36" s="20"/>
      <c r="F36" s="7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2:18" ht="18" customHeight="1" x14ac:dyDescent="0.25">
      <c r="B37" s="67" t="s">
        <v>134</v>
      </c>
      <c r="C37" s="20"/>
      <c r="D37" s="21"/>
      <c r="E37" s="20"/>
      <c r="F37" s="76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2:18" ht="18" customHeight="1" x14ac:dyDescent="0.25">
      <c r="B38" s="67" t="s">
        <v>135</v>
      </c>
      <c r="C38" s="20"/>
      <c r="D38" s="21"/>
      <c r="E38" s="20"/>
      <c r="F38" s="76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2:18" ht="18" customHeight="1" x14ac:dyDescent="0.25">
      <c r="B39" s="67" t="s">
        <v>136</v>
      </c>
      <c r="C39" s="20"/>
      <c r="D39" s="21"/>
      <c r="E39" s="20"/>
      <c r="F39" s="76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ht="18" customHeight="1" x14ac:dyDescent="0.25">
      <c r="B40" s="65" t="s">
        <v>137</v>
      </c>
      <c r="C40" s="55"/>
      <c r="D40" s="21"/>
      <c r="E40" s="20"/>
      <c r="F40" s="76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2:18" ht="18" customHeight="1" x14ac:dyDescent="0.25">
      <c r="B41" s="65" t="s">
        <v>138</v>
      </c>
      <c r="C41" s="18"/>
      <c r="D41" s="21"/>
      <c r="E41" s="19"/>
      <c r="F41" s="76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2:18" ht="18" customHeight="1" x14ac:dyDescent="0.25">
      <c r="B42" s="67" t="s">
        <v>139</v>
      </c>
      <c r="C42" s="20"/>
      <c r="D42" s="21"/>
      <c r="E42" s="20"/>
      <c r="F42" s="77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2:18" ht="18" customHeight="1" x14ac:dyDescent="0.25">
      <c r="B43" s="67" t="s">
        <v>140</v>
      </c>
      <c r="C43" s="56"/>
      <c r="D43" s="21"/>
      <c r="E43" s="56"/>
      <c r="F43" s="77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2:18" ht="18" customHeight="1" x14ac:dyDescent="0.25">
      <c r="B44" s="67" t="s">
        <v>141</v>
      </c>
      <c r="C44" s="20"/>
      <c r="D44" s="21"/>
      <c r="E44" s="20"/>
      <c r="F44" s="77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2:18" ht="18" customHeight="1" x14ac:dyDescent="0.3">
      <c r="B45" s="68" t="s">
        <v>100</v>
      </c>
      <c r="C45" s="58"/>
      <c r="D45" s="21"/>
      <c r="E45" s="59"/>
      <c r="F45" s="77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2:18" ht="18" customHeight="1" x14ac:dyDescent="0.25">
      <c r="B46" s="65" t="s">
        <v>142</v>
      </c>
      <c r="C46" s="18"/>
      <c r="D46" s="21"/>
      <c r="E46" s="19"/>
      <c r="F46" s="76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2:18" ht="18" customHeight="1" x14ac:dyDescent="0.25">
      <c r="B47" s="66" t="s">
        <v>143</v>
      </c>
      <c r="C47" s="55"/>
      <c r="D47" s="21"/>
      <c r="E47" s="20"/>
      <c r="F47" s="77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2:18" ht="18" customHeight="1" x14ac:dyDescent="0.25">
      <c r="B48" s="66" t="s">
        <v>144</v>
      </c>
      <c r="C48" s="55"/>
      <c r="D48" s="21"/>
      <c r="E48" s="20"/>
      <c r="F48" s="77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2:18" ht="18" customHeight="1" x14ac:dyDescent="0.25">
      <c r="B49" s="66" t="s">
        <v>145</v>
      </c>
      <c r="C49" s="55"/>
      <c r="D49" s="21"/>
      <c r="E49" s="20"/>
      <c r="F49" s="77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2:18" ht="18" customHeight="1" x14ac:dyDescent="0.25">
      <c r="B50" s="66" t="s">
        <v>146</v>
      </c>
      <c r="C50" s="55"/>
      <c r="D50" s="21"/>
      <c r="E50" s="20"/>
      <c r="F50" s="77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2:18" ht="18" customHeight="1" x14ac:dyDescent="0.25">
      <c r="B51" s="66" t="s">
        <v>147</v>
      </c>
      <c r="C51" s="55"/>
      <c r="D51" s="21"/>
      <c r="E51" s="20"/>
      <c r="F51" s="77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2:18" ht="18" customHeight="1" x14ac:dyDescent="0.25">
      <c r="B52" s="66" t="s">
        <v>148</v>
      </c>
      <c r="C52" s="55"/>
      <c r="D52" s="21"/>
      <c r="E52" s="20"/>
      <c r="F52" s="77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2:18" ht="18" customHeight="1" x14ac:dyDescent="0.25">
      <c r="B53" s="67" t="s">
        <v>149</v>
      </c>
      <c r="C53" s="55"/>
      <c r="D53" s="21"/>
      <c r="E53" s="20"/>
      <c r="F53" s="77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2:18" ht="18" customHeight="1" x14ac:dyDescent="0.25">
      <c r="B54" s="67" t="s">
        <v>150</v>
      </c>
      <c r="C54" s="55"/>
      <c r="D54" s="21"/>
      <c r="E54" s="20"/>
      <c r="F54" s="77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2:18" ht="18" customHeight="1" x14ac:dyDescent="0.25">
      <c r="B55" s="66" t="s">
        <v>151</v>
      </c>
      <c r="C55" s="55"/>
      <c r="D55" s="21"/>
      <c r="E55" s="20"/>
      <c r="F55" s="77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2:18" ht="18" customHeight="1" x14ac:dyDescent="0.25">
      <c r="B56" s="66" t="s">
        <v>152</v>
      </c>
      <c r="C56" s="55"/>
      <c r="D56" s="21"/>
      <c r="E56" s="20"/>
      <c r="F56" s="77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2:18" ht="18" customHeight="1" x14ac:dyDescent="0.25">
      <c r="B57" s="66" t="s">
        <v>153</v>
      </c>
      <c r="C57" s="55"/>
      <c r="D57" s="21"/>
      <c r="E57" s="20"/>
      <c r="F57" s="77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2:18" ht="18" customHeight="1" x14ac:dyDescent="0.3">
      <c r="B58" s="68" t="s">
        <v>100</v>
      </c>
      <c r="C58" s="58"/>
      <c r="D58" s="21"/>
      <c r="E58" s="59"/>
      <c r="F58" s="77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2:18" ht="18" customHeight="1" x14ac:dyDescent="0.25">
      <c r="B59" s="65" t="s">
        <v>154</v>
      </c>
      <c r="C59" s="18"/>
      <c r="D59" s="21"/>
      <c r="E59" s="19"/>
      <c r="F59" s="76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2:18" ht="18" customHeight="1" x14ac:dyDescent="0.25">
      <c r="B60" s="67" t="s">
        <v>155</v>
      </c>
      <c r="C60" s="20"/>
      <c r="D60" s="57"/>
      <c r="E60" s="22"/>
      <c r="F60" s="77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2:18" ht="18" customHeight="1" x14ac:dyDescent="0.25">
      <c r="B61" s="67" t="s">
        <v>156</v>
      </c>
      <c r="C61" s="20"/>
      <c r="D61" s="21"/>
      <c r="E61" s="22"/>
      <c r="F61" s="77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2:18" ht="18" customHeight="1" x14ac:dyDescent="0.25">
      <c r="B62" s="67" t="s">
        <v>157</v>
      </c>
      <c r="C62" s="20"/>
      <c r="D62" s="21"/>
      <c r="E62" s="22"/>
      <c r="F62" s="77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2:18" ht="18" customHeight="1" x14ac:dyDescent="0.25">
      <c r="B63" s="67" t="s">
        <v>158</v>
      </c>
      <c r="C63" s="20"/>
      <c r="D63" s="21"/>
      <c r="E63" s="22"/>
      <c r="F63" s="77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2:18" ht="18" customHeight="1" x14ac:dyDescent="0.25">
      <c r="B64" s="67" t="s">
        <v>159</v>
      </c>
      <c r="C64" s="20"/>
      <c r="D64" s="21"/>
      <c r="E64" s="22"/>
      <c r="F64" s="77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2:18" ht="18" customHeight="1" x14ac:dyDescent="0.25">
      <c r="B65" s="67" t="s">
        <v>160</v>
      </c>
      <c r="C65" s="20"/>
      <c r="D65" s="21"/>
      <c r="E65" s="22"/>
      <c r="F65" s="77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2:18" ht="18" customHeight="1" x14ac:dyDescent="0.25">
      <c r="B66" s="67" t="s">
        <v>161</v>
      </c>
      <c r="C66" s="20"/>
      <c r="D66" s="21"/>
      <c r="E66" s="22"/>
      <c r="F66" s="77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2:18" ht="18" customHeight="1" x14ac:dyDescent="0.25">
      <c r="B67" s="67" t="s">
        <v>162</v>
      </c>
      <c r="C67" s="20"/>
      <c r="D67" s="21"/>
      <c r="E67" s="22"/>
      <c r="F67" s="77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2:18" ht="18" customHeight="1" x14ac:dyDescent="0.25">
      <c r="B68" s="67" t="s">
        <v>163</v>
      </c>
      <c r="C68" s="20"/>
      <c r="D68" s="21"/>
      <c r="E68" s="22"/>
      <c r="F68" s="77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2:18" ht="18" customHeight="1" x14ac:dyDescent="0.25">
      <c r="B69" s="67" t="s">
        <v>164</v>
      </c>
      <c r="C69" s="20"/>
      <c r="D69" s="21"/>
      <c r="E69" s="22"/>
      <c r="F69" s="77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2:18" ht="18" customHeight="1" x14ac:dyDescent="0.25">
      <c r="B70" s="67" t="s">
        <v>165</v>
      </c>
      <c r="C70" s="20"/>
      <c r="D70" s="21"/>
      <c r="E70" s="22"/>
      <c r="F70" s="77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2:18" ht="18" customHeight="1" x14ac:dyDescent="0.25">
      <c r="B71" s="67" t="s">
        <v>166</v>
      </c>
      <c r="C71" s="20"/>
      <c r="D71" s="21"/>
      <c r="E71" s="22"/>
      <c r="F71" s="77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2:18" ht="18" customHeight="1" x14ac:dyDescent="0.25">
      <c r="B72" s="67" t="s">
        <v>167</v>
      </c>
      <c r="C72" s="20"/>
      <c r="D72" s="21"/>
      <c r="E72" s="22"/>
      <c r="F72" s="77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2:18" ht="18" customHeight="1" x14ac:dyDescent="0.25">
      <c r="B73" s="67" t="s">
        <v>168</v>
      </c>
      <c r="C73" s="20"/>
      <c r="D73" s="21"/>
      <c r="E73" s="22"/>
      <c r="F73" s="77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2:18" ht="18" customHeight="1" x14ac:dyDescent="0.25">
      <c r="B74" s="67" t="s">
        <v>169</v>
      </c>
      <c r="C74" s="20"/>
      <c r="D74" s="21"/>
      <c r="E74" s="22"/>
      <c r="F74" s="77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2:18" ht="18" customHeight="1" x14ac:dyDescent="0.25">
      <c r="B75" s="67" t="s">
        <v>170</v>
      </c>
      <c r="C75" s="20"/>
      <c r="D75" s="21"/>
      <c r="E75" s="22"/>
      <c r="F75" s="77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2:18" ht="18" customHeight="1" x14ac:dyDescent="0.25">
      <c r="B76" s="67" t="s">
        <v>171</v>
      </c>
      <c r="C76" s="56"/>
      <c r="D76" s="21"/>
      <c r="E76" s="22"/>
      <c r="F76" s="77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2:18" ht="18" customHeight="1" x14ac:dyDescent="0.25">
      <c r="B77" s="67" t="s">
        <v>172</v>
      </c>
      <c r="C77" s="20"/>
      <c r="D77" s="21"/>
      <c r="E77" s="23"/>
      <c r="F77" s="77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2:18" ht="18" customHeight="1" x14ac:dyDescent="0.25">
      <c r="B78" s="67" t="s">
        <v>173</v>
      </c>
      <c r="C78" s="20"/>
      <c r="D78" s="21"/>
      <c r="E78" s="23"/>
      <c r="F78" s="77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2:18" ht="18" customHeight="1" x14ac:dyDescent="0.25">
      <c r="B79" s="67" t="s">
        <v>174</v>
      </c>
      <c r="C79" s="20"/>
      <c r="D79" s="21"/>
      <c r="E79" s="23"/>
      <c r="F79" s="77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2:18" ht="18" customHeight="1" x14ac:dyDescent="0.25">
      <c r="B80" s="67" t="s">
        <v>175</v>
      </c>
      <c r="C80" s="20"/>
      <c r="D80" s="21"/>
      <c r="E80" s="23"/>
      <c r="F80" s="77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2:18" ht="18" customHeight="1" x14ac:dyDescent="0.25">
      <c r="B81" s="67" t="s">
        <v>176</v>
      </c>
      <c r="C81" s="20"/>
      <c r="D81" s="21"/>
      <c r="E81" s="23"/>
      <c r="F81" s="77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2:18" ht="18" customHeight="1" x14ac:dyDescent="0.25">
      <c r="B82" s="67" t="s">
        <v>177</v>
      </c>
      <c r="C82" s="20"/>
      <c r="D82" s="21"/>
      <c r="E82" s="23"/>
      <c r="F82" s="7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2:18" ht="18" customHeight="1" x14ac:dyDescent="0.25">
      <c r="B83" s="67" t="s">
        <v>178</v>
      </c>
      <c r="C83" s="20"/>
      <c r="D83" s="21"/>
      <c r="E83" s="23"/>
      <c r="F83" s="77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2:18" ht="18" customHeight="1" x14ac:dyDescent="0.25">
      <c r="B84" s="67" t="s">
        <v>179</v>
      </c>
      <c r="C84" s="20"/>
      <c r="D84" s="21"/>
      <c r="E84" s="23"/>
      <c r="F84" s="77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2:18" ht="18" customHeight="1" x14ac:dyDescent="0.25">
      <c r="B85" s="67" t="s">
        <v>180</v>
      </c>
      <c r="C85" s="20"/>
      <c r="D85" s="21"/>
      <c r="E85" s="23"/>
      <c r="F85" s="77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2:18" ht="18" customHeight="1" x14ac:dyDescent="0.25">
      <c r="B86" s="67" t="s">
        <v>181</v>
      </c>
      <c r="C86" s="20"/>
      <c r="D86" s="21"/>
      <c r="E86" s="23"/>
      <c r="F86" s="77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2:18" ht="18" customHeight="1" x14ac:dyDescent="0.25">
      <c r="B87" s="67" t="s">
        <v>182</v>
      </c>
      <c r="C87" s="56"/>
      <c r="D87" s="21"/>
      <c r="E87" s="23"/>
      <c r="F87" s="77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2:18" ht="18" customHeight="1" x14ac:dyDescent="0.25">
      <c r="B88" s="67" t="s">
        <v>183</v>
      </c>
      <c r="C88" s="20"/>
      <c r="D88" s="21"/>
      <c r="E88" s="23"/>
      <c r="F88" s="77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2:18" ht="18" customHeight="1" x14ac:dyDescent="0.25">
      <c r="B89" s="67" t="s">
        <v>184</v>
      </c>
      <c r="C89" s="20"/>
      <c r="D89" s="21"/>
      <c r="E89" s="23"/>
      <c r="F89" s="77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2:18" ht="18" customHeight="1" x14ac:dyDescent="0.25">
      <c r="B90" s="67" t="s">
        <v>185</v>
      </c>
      <c r="C90" s="20"/>
      <c r="D90" s="21"/>
      <c r="E90" s="23"/>
      <c r="F90" s="77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2:18" ht="18" customHeight="1" x14ac:dyDescent="0.25">
      <c r="B91" s="67" t="s">
        <v>186</v>
      </c>
      <c r="C91" s="20"/>
      <c r="D91" s="21"/>
      <c r="E91" s="23"/>
      <c r="F91" s="77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2:18" ht="18" customHeight="1" x14ac:dyDescent="0.25">
      <c r="B92" s="66" t="s">
        <v>187</v>
      </c>
      <c r="C92" s="20"/>
      <c r="D92" s="21"/>
      <c r="E92" s="23"/>
      <c r="F92" s="77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2:18" ht="18" customHeight="1" x14ac:dyDescent="0.25">
      <c r="B93" s="66" t="s">
        <v>144</v>
      </c>
      <c r="C93" s="20"/>
      <c r="D93" s="21"/>
      <c r="E93" s="23"/>
      <c r="F93" s="77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2:18" ht="18" customHeight="1" x14ac:dyDescent="0.25">
      <c r="B94" s="66" t="s">
        <v>145</v>
      </c>
      <c r="C94" s="20"/>
      <c r="D94" s="21"/>
      <c r="E94" s="23"/>
      <c r="F94" s="77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2:18" ht="18" customHeight="1" x14ac:dyDescent="0.25">
      <c r="B95" s="66" t="s">
        <v>146</v>
      </c>
      <c r="C95" s="20"/>
      <c r="D95" s="21"/>
      <c r="E95" s="23"/>
      <c r="F95" s="77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2:18" ht="18" customHeight="1" x14ac:dyDescent="0.25">
      <c r="B96" s="66" t="s">
        <v>147</v>
      </c>
      <c r="C96" s="20"/>
      <c r="D96" s="21"/>
      <c r="E96" s="23"/>
      <c r="F96" s="77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2:18" ht="18" customHeight="1" x14ac:dyDescent="0.25">
      <c r="B97" s="67" t="s">
        <v>188</v>
      </c>
      <c r="C97" s="20"/>
      <c r="D97" s="21"/>
      <c r="E97" s="23"/>
      <c r="F97" s="77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2:18" ht="18" customHeight="1" x14ac:dyDescent="0.25">
      <c r="B98" s="67" t="s">
        <v>189</v>
      </c>
      <c r="C98" s="20"/>
      <c r="D98" s="21"/>
      <c r="E98" s="23"/>
      <c r="F98" s="77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2:18" ht="18" customHeight="1" x14ac:dyDescent="0.25">
      <c r="B99" s="67" t="s">
        <v>190</v>
      </c>
      <c r="C99" s="20"/>
      <c r="D99" s="21"/>
      <c r="E99" s="23"/>
      <c r="F99" s="77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2:18" ht="18" customHeight="1" x14ac:dyDescent="0.25">
      <c r="B100" s="67" t="s">
        <v>191</v>
      </c>
      <c r="C100" s="20"/>
      <c r="D100" s="21"/>
      <c r="E100" s="23"/>
      <c r="F100" s="77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2:18" ht="18" customHeight="1" x14ac:dyDescent="0.25">
      <c r="B101" s="67" t="s">
        <v>192</v>
      </c>
      <c r="C101" s="20"/>
      <c r="D101" s="21"/>
      <c r="E101" s="23"/>
      <c r="F101" s="77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2:18" ht="18" customHeight="1" x14ac:dyDescent="0.25">
      <c r="B102" s="67" t="s">
        <v>193</v>
      </c>
      <c r="C102" s="56"/>
      <c r="D102" s="21"/>
      <c r="E102" s="23"/>
      <c r="F102" s="77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2:18" ht="18" customHeight="1" x14ac:dyDescent="0.3">
      <c r="B103" s="68" t="s">
        <v>100</v>
      </c>
      <c r="C103" s="58"/>
      <c r="D103" s="21"/>
      <c r="E103" s="59"/>
      <c r="F103" s="77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2:18" ht="18" customHeight="1" x14ac:dyDescent="0.25">
      <c r="B104" s="65" t="s">
        <v>194</v>
      </c>
      <c r="C104" s="18"/>
      <c r="D104" s="21"/>
      <c r="E104" s="19"/>
      <c r="F104" s="76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2:18" ht="18" customHeight="1" x14ac:dyDescent="0.25">
      <c r="B105" s="66" t="s">
        <v>195</v>
      </c>
      <c r="C105" s="20"/>
      <c r="D105" s="21"/>
      <c r="E105" s="20"/>
      <c r="F105" s="77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2:18" ht="18" customHeight="1" x14ac:dyDescent="0.25">
      <c r="B106" s="66" t="s">
        <v>196</v>
      </c>
      <c r="C106" s="20"/>
      <c r="D106" s="21"/>
      <c r="E106" s="20"/>
      <c r="F106" s="77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2:18" ht="18" customHeight="1" x14ac:dyDescent="0.3">
      <c r="B107" s="68" t="s">
        <v>100</v>
      </c>
      <c r="C107" s="20"/>
      <c r="D107" s="21"/>
      <c r="E107" s="20"/>
      <c r="F107" s="77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2:18" ht="18" customHeight="1" thickBot="1" x14ac:dyDescent="0.3">
      <c r="B108" s="70" t="s">
        <v>197</v>
      </c>
      <c r="C108" s="71"/>
      <c r="D108" s="72"/>
      <c r="E108" s="73"/>
      <c r="F108" s="80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2:18" ht="18" customHeight="1" x14ac:dyDescent="0.25">
      <c r="B109" s="12"/>
      <c r="C109" s="13"/>
      <c r="D109" s="12"/>
      <c r="E109" s="14"/>
      <c r="F109" s="81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2:18" ht="18" customHeight="1" x14ac:dyDescent="0.25">
      <c r="B110" s="12"/>
      <c r="C110" s="13"/>
      <c r="D110" s="12"/>
      <c r="E110" s="14"/>
      <c r="F110" s="81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2:18" ht="18" customHeight="1" x14ac:dyDescent="0.25">
      <c r="B111" s="12"/>
      <c r="C111" s="13"/>
      <c r="D111" s="12"/>
      <c r="E111" s="14"/>
      <c r="F111" s="81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2:18" ht="18" customHeight="1" x14ac:dyDescent="0.25">
      <c r="B112" s="12"/>
      <c r="C112" s="13"/>
      <c r="D112" s="12"/>
      <c r="E112" s="14"/>
      <c r="F112" s="81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2:18" ht="18" customHeight="1" x14ac:dyDescent="0.25">
      <c r="B113" s="12"/>
      <c r="C113" s="13"/>
      <c r="D113" s="12"/>
      <c r="E113" s="14"/>
      <c r="F113" s="81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2:18" ht="18" customHeight="1" x14ac:dyDescent="0.25">
      <c r="B114" s="12"/>
      <c r="C114" s="13"/>
      <c r="D114" s="12"/>
      <c r="E114" s="14"/>
      <c r="F114" s="8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2:18" ht="18" customHeight="1" x14ac:dyDescent="0.25">
      <c r="B115" s="12"/>
      <c r="C115" s="13"/>
      <c r="D115" s="12"/>
      <c r="E115" s="14"/>
      <c r="F115" s="81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2:18" ht="18" customHeight="1" x14ac:dyDescent="0.25">
      <c r="B116" s="12"/>
      <c r="C116" s="13"/>
      <c r="D116" s="12"/>
      <c r="E116" s="14"/>
      <c r="F116" s="8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2:18" ht="18" customHeight="1" x14ac:dyDescent="0.25">
      <c r="B117" s="12"/>
      <c r="C117" s="13"/>
      <c r="D117" s="12"/>
      <c r="E117" s="14"/>
      <c r="F117" s="81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2:18" ht="18" customHeight="1" x14ac:dyDescent="0.25">
      <c r="B118" s="12"/>
      <c r="C118" s="13"/>
      <c r="D118" s="12"/>
      <c r="E118" s="14"/>
      <c r="F118" s="81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2:18" ht="18" customHeight="1" x14ac:dyDescent="0.25">
      <c r="B119" s="12"/>
      <c r="C119" s="13"/>
      <c r="D119" s="12"/>
      <c r="E119" s="14"/>
      <c r="F119" s="81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2:18" ht="18" customHeight="1" x14ac:dyDescent="0.25">
      <c r="B120" s="12"/>
      <c r="C120" s="13"/>
      <c r="D120" s="12"/>
      <c r="E120" s="14"/>
      <c r="F120" s="8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2:18" ht="18" customHeight="1" x14ac:dyDescent="0.25">
      <c r="B121" s="12"/>
      <c r="C121" s="13"/>
      <c r="D121" s="12"/>
      <c r="E121" s="14"/>
      <c r="F121" s="81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2:18" ht="18" customHeight="1" x14ac:dyDescent="0.25">
      <c r="B122" s="12"/>
      <c r="C122" s="13"/>
      <c r="D122" s="12"/>
      <c r="E122" s="14"/>
      <c r="F122" s="81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2:18" ht="18" customHeight="1" x14ac:dyDescent="0.25">
      <c r="B123" s="12"/>
      <c r="C123" s="13"/>
      <c r="D123" s="12"/>
      <c r="E123" s="14"/>
      <c r="F123" s="81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2:18" ht="18" customHeight="1" x14ac:dyDescent="0.25">
      <c r="B124" s="12"/>
      <c r="C124" s="13"/>
      <c r="D124" s="12"/>
      <c r="E124" s="14"/>
      <c r="F124" s="81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2:18" ht="18" customHeight="1" x14ac:dyDescent="0.25">
      <c r="B125" s="12"/>
      <c r="C125" s="13"/>
      <c r="D125" s="12"/>
      <c r="E125" s="14"/>
      <c r="F125" s="81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2:18" ht="18" customHeight="1" x14ac:dyDescent="0.25">
      <c r="B126" s="12"/>
      <c r="C126" s="13"/>
      <c r="D126" s="12"/>
      <c r="E126" s="14"/>
      <c r="F126" s="8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2:18" ht="18" customHeight="1" x14ac:dyDescent="0.25">
      <c r="B127" s="12"/>
      <c r="C127" s="13"/>
      <c r="D127" s="12"/>
      <c r="E127" s="14"/>
      <c r="F127" s="81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2:18" ht="18" customHeight="1" x14ac:dyDescent="0.25">
      <c r="B128" s="12"/>
      <c r="C128" s="13"/>
      <c r="D128" s="12"/>
      <c r="E128" s="14"/>
      <c r="F128" s="81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2:18" ht="18" customHeight="1" x14ac:dyDescent="0.25">
      <c r="B129" s="12"/>
      <c r="C129" s="13"/>
      <c r="D129" s="12"/>
      <c r="E129" s="14"/>
      <c r="F129" s="81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2:18" ht="18" customHeight="1" x14ac:dyDescent="0.25">
      <c r="B130" s="12"/>
      <c r="C130" s="13"/>
      <c r="D130" s="12"/>
      <c r="E130" s="14"/>
      <c r="F130" s="81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2:18" ht="18" customHeight="1" x14ac:dyDescent="0.25">
      <c r="B131" s="12"/>
      <c r="C131" s="13"/>
      <c r="D131" s="12"/>
      <c r="E131" s="14"/>
      <c r="F131" s="81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2:18" ht="18" customHeight="1" x14ac:dyDescent="0.25">
      <c r="B132" s="12"/>
      <c r="C132" s="13"/>
      <c r="D132" s="12"/>
      <c r="E132" s="14"/>
      <c r="F132" s="81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2:18" ht="18" customHeight="1" x14ac:dyDescent="0.25">
      <c r="B133" s="12"/>
      <c r="C133" s="13"/>
      <c r="D133" s="12"/>
      <c r="E133" s="14"/>
      <c r="F133" s="81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2:18" ht="18" customHeight="1" x14ac:dyDescent="0.25">
      <c r="B134" s="12"/>
      <c r="C134" s="13"/>
      <c r="D134" s="12"/>
      <c r="E134" s="14"/>
      <c r="F134" s="81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2:18" ht="18" customHeight="1" x14ac:dyDescent="0.25">
      <c r="B135" s="12"/>
      <c r="C135" s="13"/>
      <c r="D135" s="12"/>
      <c r="E135" s="14"/>
      <c r="F135" s="81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2:18" ht="18" customHeight="1" x14ac:dyDescent="0.25">
      <c r="B136" s="12"/>
      <c r="C136" s="13"/>
      <c r="D136" s="12"/>
      <c r="E136" s="14"/>
      <c r="F136" s="81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2:18" ht="18" customHeight="1" x14ac:dyDescent="0.25">
      <c r="B137" s="12"/>
      <c r="C137" s="13"/>
      <c r="D137" s="12"/>
      <c r="E137" s="14"/>
      <c r="F137" s="81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2:18" ht="18" customHeight="1" x14ac:dyDescent="0.25">
      <c r="B138" s="12"/>
      <c r="C138" s="13"/>
      <c r="D138" s="12"/>
      <c r="E138" s="14"/>
      <c r="F138" s="81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2:18" ht="18" customHeight="1" x14ac:dyDescent="0.25">
      <c r="B139" s="12"/>
      <c r="C139" s="13"/>
      <c r="D139" s="12"/>
      <c r="E139" s="14"/>
      <c r="F139" s="81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2:18" ht="18" customHeight="1" x14ac:dyDescent="0.25">
      <c r="B140" s="12"/>
      <c r="C140" s="13"/>
      <c r="D140" s="12"/>
      <c r="E140" s="14"/>
      <c r="F140" s="81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2:18" ht="18" customHeight="1" x14ac:dyDescent="0.25">
      <c r="B141" s="12"/>
      <c r="C141" s="13"/>
      <c r="D141" s="12"/>
      <c r="E141" s="14"/>
      <c r="F141" s="81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2:18" ht="18" customHeight="1" x14ac:dyDescent="0.25">
      <c r="B142" s="12"/>
      <c r="C142" s="13"/>
      <c r="D142" s="12"/>
      <c r="E142" s="14"/>
      <c r="F142" s="81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2:18" ht="18" customHeight="1" x14ac:dyDescent="0.25">
      <c r="B143" s="12"/>
      <c r="C143" s="13"/>
      <c r="D143" s="12"/>
      <c r="E143" s="14"/>
      <c r="F143" s="81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2:18" ht="18" customHeight="1" x14ac:dyDescent="0.25">
      <c r="B144" s="12"/>
      <c r="C144" s="13"/>
      <c r="D144" s="12"/>
      <c r="E144" s="14"/>
      <c r="F144" s="81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2:18" ht="18" customHeight="1" x14ac:dyDescent="0.25">
      <c r="B145" s="12"/>
      <c r="C145" s="13"/>
      <c r="D145" s="12"/>
      <c r="E145" s="14"/>
      <c r="F145" s="81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2:18" ht="18" customHeight="1" x14ac:dyDescent="0.25">
      <c r="B146" s="12"/>
      <c r="C146" s="13"/>
      <c r="D146" s="12"/>
      <c r="E146" s="14"/>
      <c r="F146" s="81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2:18" ht="18" customHeight="1" x14ac:dyDescent="0.25">
      <c r="B147" s="12"/>
      <c r="C147" s="13"/>
      <c r="D147" s="12"/>
      <c r="E147" s="14"/>
      <c r="F147" s="81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2:18" ht="18" customHeight="1" x14ac:dyDescent="0.25">
      <c r="B148" s="12"/>
      <c r="C148" s="13"/>
      <c r="D148" s="12"/>
      <c r="E148" s="14"/>
      <c r="F148" s="81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2:18" ht="18" customHeight="1" x14ac:dyDescent="0.25">
      <c r="B149" s="12"/>
      <c r="C149" s="13"/>
      <c r="D149" s="12"/>
      <c r="E149" s="14"/>
      <c r="F149" s="81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2:18" ht="18" customHeight="1" x14ac:dyDescent="0.25">
      <c r="B150" s="12"/>
      <c r="C150" s="13"/>
      <c r="D150" s="12"/>
      <c r="E150" s="14"/>
      <c r="F150" s="81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2:18" ht="18" customHeight="1" x14ac:dyDescent="0.25">
      <c r="B151" s="12"/>
      <c r="C151" s="13"/>
      <c r="D151" s="12"/>
      <c r="E151" s="14"/>
      <c r="F151" s="81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2:18" ht="18" customHeight="1" x14ac:dyDescent="0.25">
      <c r="B152" s="12"/>
      <c r="C152" s="13"/>
      <c r="D152" s="12"/>
      <c r="E152" s="14"/>
      <c r="F152" s="81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2:18" ht="18" customHeight="1" x14ac:dyDescent="0.25">
      <c r="B153" s="12"/>
      <c r="C153" s="13"/>
      <c r="D153" s="12"/>
      <c r="E153" s="14"/>
      <c r="F153" s="81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2:18" ht="18" customHeight="1" x14ac:dyDescent="0.25">
      <c r="B154" s="12"/>
      <c r="C154" s="13"/>
      <c r="D154" s="12"/>
      <c r="E154" s="14"/>
      <c r="F154" s="81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2:18" ht="18" customHeight="1" x14ac:dyDescent="0.25">
      <c r="B155" s="12"/>
      <c r="C155" s="13"/>
      <c r="D155" s="12"/>
      <c r="E155" s="14"/>
      <c r="F155" s="81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2:18" ht="18" customHeight="1" x14ac:dyDescent="0.25">
      <c r="B156" s="12"/>
      <c r="C156" s="13"/>
      <c r="D156" s="12"/>
      <c r="E156" s="14"/>
      <c r="F156" s="8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2:18" ht="18" customHeight="1" x14ac:dyDescent="0.25">
      <c r="B157" s="12"/>
      <c r="C157" s="13"/>
      <c r="D157" s="12"/>
      <c r="E157" s="14"/>
      <c r="F157" s="81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2:18" ht="18" customHeight="1" x14ac:dyDescent="0.25">
      <c r="B158" s="12"/>
      <c r="C158" s="13"/>
      <c r="D158" s="12"/>
      <c r="E158" s="14"/>
      <c r="F158" s="81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2:18" ht="18" customHeight="1" x14ac:dyDescent="0.25">
      <c r="B159" s="12"/>
      <c r="C159" s="13"/>
      <c r="D159" s="12"/>
      <c r="E159" s="14"/>
      <c r="F159" s="81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2:18" ht="18" customHeight="1" x14ac:dyDescent="0.25">
      <c r="B160" s="12"/>
      <c r="C160" s="13"/>
      <c r="D160" s="12"/>
      <c r="E160" s="14"/>
      <c r="F160" s="81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2:18" ht="18" customHeight="1" x14ac:dyDescent="0.25">
      <c r="B161" s="12"/>
      <c r="C161" s="13"/>
      <c r="D161" s="12"/>
      <c r="E161" s="14"/>
      <c r="F161" s="81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2:18" ht="18" customHeight="1" x14ac:dyDescent="0.25">
      <c r="B162" s="12"/>
      <c r="C162" s="13"/>
      <c r="D162" s="12"/>
      <c r="E162" s="14"/>
      <c r="F162" s="81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2:18" ht="18" customHeight="1" x14ac:dyDescent="0.25">
      <c r="B163" s="12"/>
      <c r="C163" s="13"/>
      <c r="D163" s="12"/>
      <c r="E163" s="14"/>
      <c r="F163" s="81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2:18" ht="18" customHeight="1" x14ac:dyDescent="0.25">
      <c r="B164" s="12"/>
      <c r="C164" s="13"/>
      <c r="D164" s="12"/>
      <c r="E164" s="14"/>
      <c r="F164" s="81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2:18" ht="18" customHeight="1" x14ac:dyDescent="0.25">
      <c r="B165" s="12"/>
      <c r="C165" s="13"/>
      <c r="D165" s="12"/>
      <c r="E165" s="14"/>
      <c r="F165" s="81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2:18" ht="18" customHeight="1" x14ac:dyDescent="0.25">
      <c r="B166" s="12"/>
      <c r="C166" s="13"/>
      <c r="D166" s="12"/>
      <c r="E166" s="14"/>
      <c r="F166" s="81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2:18" ht="18" customHeight="1" x14ac:dyDescent="0.25">
      <c r="B167" s="12"/>
      <c r="C167" s="13"/>
      <c r="D167" s="12"/>
      <c r="E167" s="14"/>
      <c r="F167" s="81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2:18" ht="18" customHeight="1" x14ac:dyDescent="0.25">
      <c r="B168" s="12"/>
      <c r="C168" s="13"/>
      <c r="D168" s="12"/>
      <c r="E168" s="14"/>
      <c r="F168" s="81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2:18" ht="18" customHeight="1" x14ac:dyDescent="0.25">
      <c r="B169" s="12"/>
      <c r="C169" s="13"/>
      <c r="D169" s="12"/>
      <c r="E169" s="14"/>
      <c r="F169" s="81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2:18" ht="18" customHeight="1" x14ac:dyDescent="0.25">
      <c r="B170" s="12"/>
      <c r="C170" s="13"/>
      <c r="D170" s="12"/>
      <c r="E170" s="14"/>
      <c r="F170" s="81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2:18" ht="18" customHeight="1" x14ac:dyDescent="0.25">
      <c r="B171" s="12"/>
      <c r="C171" s="13"/>
      <c r="D171" s="12"/>
      <c r="E171" s="14"/>
      <c r="F171" s="81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2:18" ht="18" customHeight="1" x14ac:dyDescent="0.25">
      <c r="B172" s="12"/>
      <c r="C172" s="13"/>
      <c r="D172" s="12"/>
      <c r="E172" s="14"/>
      <c r="F172" s="81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2:18" ht="18" customHeight="1" x14ac:dyDescent="0.25">
      <c r="B173" s="12"/>
      <c r="C173" s="13"/>
      <c r="D173" s="12"/>
      <c r="E173" s="14"/>
      <c r="F173" s="81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2:18" ht="18" customHeight="1" x14ac:dyDescent="0.25">
      <c r="B174" s="12"/>
      <c r="C174" s="13"/>
      <c r="D174" s="12"/>
      <c r="E174" s="14"/>
      <c r="F174" s="81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2:18" ht="18" customHeight="1" x14ac:dyDescent="0.25">
      <c r="B175" s="12"/>
      <c r="C175" s="13"/>
      <c r="D175" s="12"/>
      <c r="E175" s="14"/>
      <c r="F175" s="81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2:18" ht="18" customHeight="1" x14ac:dyDescent="0.25">
      <c r="B176" s="12"/>
      <c r="C176" s="13"/>
      <c r="D176" s="12"/>
      <c r="E176" s="14"/>
      <c r="F176" s="8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2:18" ht="18" customHeight="1" x14ac:dyDescent="0.25">
      <c r="B177" s="12"/>
      <c r="C177" s="13"/>
      <c r="D177" s="12"/>
      <c r="E177" s="14"/>
      <c r="F177" s="81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2:18" ht="18" customHeight="1" x14ac:dyDescent="0.25">
      <c r="B178" s="12"/>
      <c r="C178" s="13"/>
      <c r="D178" s="12"/>
      <c r="E178" s="14"/>
      <c r="F178" s="81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2:18" ht="18" customHeight="1" x14ac:dyDescent="0.25">
      <c r="B179" s="12"/>
      <c r="C179" s="13"/>
      <c r="D179" s="12"/>
      <c r="E179" s="14"/>
      <c r="F179" s="81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2:18" ht="18" customHeight="1" x14ac:dyDescent="0.25">
      <c r="B180" s="12"/>
      <c r="C180" s="13"/>
      <c r="D180" s="12"/>
      <c r="E180" s="14"/>
      <c r="F180" s="81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2:18" ht="18" customHeight="1" x14ac:dyDescent="0.25">
      <c r="B181" s="12"/>
      <c r="C181" s="13"/>
      <c r="D181" s="12"/>
      <c r="E181" s="14"/>
      <c r="F181" s="81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2:18" ht="18" customHeight="1" x14ac:dyDescent="0.25">
      <c r="B182" s="12"/>
      <c r="C182" s="13"/>
      <c r="D182" s="12"/>
      <c r="E182" s="14"/>
      <c r="F182" s="81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2:18" ht="18" customHeight="1" x14ac:dyDescent="0.25">
      <c r="B183" s="12"/>
      <c r="C183" s="13"/>
      <c r="D183" s="12"/>
      <c r="E183" s="14"/>
      <c r="F183" s="81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2:18" ht="18" customHeight="1" x14ac:dyDescent="0.25">
      <c r="B184" s="12"/>
      <c r="C184" s="13"/>
      <c r="D184" s="12"/>
      <c r="E184" s="14"/>
      <c r="F184" s="81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2:18" ht="18" customHeight="1" x14ac:dyDescent="0.25">
      <c r="B185" s="12"/>
      <c r="C185" s="13"/>
      <c r="D185" s="12"/>
      <c r="E185" s="14"/>
      <c r="F185" s="81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2:18" ht="18" customHeight="1" x14ac:dyDescent="0.25">
      <c r="B186" s="12"/>
      <c r="C186" s="13"/>
      <c r="D186" s="12"/>
      <c r="E186" s="14"/>
      <c r="F186" s="81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2:18" ht="18" customHeight="1" x14ac:dyDescent="0.25">
      <c r="B187" s="12"/>
      <c r="C187" s="13"/>
      <c r="D187" s="12"/>
      <c r="E187" s="14"/>
      <c r="F187" s="81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2:18" ht="18" customHeight="1" x14ac:dyDescent="0.25">
      <c r="B188" s="12"/>
      <c r="C188" s="13"/>
      <c r="D188" s="12"/>
      <c r="E188" s="14"/>
      <c r="F188" s="81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2:18" ht="18" customHeight="1" x14ac:dyDescent="0.25">
      <c r="B189" s="12"/>
      <c r="C189" s="13"/>
      <c r="D189" s="12"/>
      <c r="E189" s="14"/>
      <c r="F189" s="81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2:18" ht="18" customHeight="1" x14ac:dyDescent="0.25">
      <c r="B190" s="12"/>
      <c r="C190" s="13"/>
      <c r="D190" s="12"/>
      <c r="E190" s="14"/>
      <c r="F190" s="81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2:18" ht="18" customHeight="1" x14ac:dyDescent="0.25">
      <c r="B191" s="12"/>
      <c r="C191" s="13"/>
      <c r="D191" s="12"/>
      <c r="E191" s="14"/>
      <c r="F191" s="81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2:18" ht="18" customHeight="1" x14ac:dyDescent="0.25">
      <c r="B192" s="12"/>
      <c r="C192" s="13"/>
      <c r="D192" s="12"/>
      <c r="E192" s="14"/>
      <c r="F192" s="81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2:18" ht="18" customHeight="1" x14ac:dyDescent="0.25">
      <c r="B193" s="12"/>
      <c r="C193" s="13"/>
      <c r="D193" s="12"/>
      <c r="E193" s="14"/>
      <c r="F193" s="8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2:18" ht="18" customHeight="1" x14ac:dyDescent="0.25">
      <c r="B194" s="12"/>
      <c r="C194" s="13"/>
      <c r="D194" s="12"/>
      <c r="E194" s="14"/>
      <c r="F194" s="8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2:18" ht="18" customHeight="1" x14ac:dyDescent="0.25">
      <c r="B195" s="12"/>
      <c r="C195" s="13"/>
      <c r="D195" s="12"/>
      <c r="E195" s="14"/>
      <c r="F195" s="81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2:18" ht="18" customHeight="1" x14ac:dyDescent="0.25">
      <c r="B196" s="12"/>
      <c r="C196" s="13"/>
      <c r="D196" s="12"/>
      <c r="E196" s="14"/>
      <c r="F196" s="81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2:18" ht="18" customHeight="1" x14ac:dyDescent="0.25">
      <c r="B197" s="12"/>
      <c r="C197" s="13"/>
      <c r="D197" s="12"/>
      <c r="E197" s="14"/>
      <c r="F197" s="81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2:18" ht="18" customHeight="1" x14ac:dyDescent="0.25">
      <c r="B198" s="12"/>
      <c r="C198" s="13"/>
      <c r="D198" s="12"/>
      <c r="E198" s="14"/>
      <c r="F198" s="81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2:18" ht="18" customHeight="1" x14ac:dyDescent="0.25">
      <c r="B199" s="12"/>
      <c r="C199" s="13"/>
      <c r="D199" s="12"/>
      <c r="E199" s="14"/>
      <c r="F199" s="81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2:18" ht="18" customHeight="1" x14ac:dyDescent="0.25">
      <c r="B200" s="12"/>
      <c r="C200" s="13"/>
      <c r="D200" s="12"/>
      <c r="E200" s="14"/>
      <c r="F200" s="8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2:18" ht="18" customHeight="1" x14ac:dyDescent="0.25">
      <c r="B201" s="12"/>
      <c r="C201" s="13"/>
      <c r="D201" s="12"/>
      <c r="E201" s="14"/>
      <c r="F201" s="81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2:18" ht="18" customHeight="1" x14ac:dyDescent="0.25">
      <c r="B202" s="12"/>
      <c r="C202" s="13"/>
      <c r="D202" s="12"/>
      <c r="E202" s="14"/>
      <c r="F202" s="81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2:18" ht="18" customHeight="1" x14ac:dyDescent="0.25">
      <c r="B203" s="12"/>
      <c r="C203" s="13"/>
      <c r="D203" s="12"/>
      <c r="E203" s="14"/>
      <c r="F203" s="81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2:18" ht="18" customHeight="1" x14ac:dyDescent="0.25">
      <c r="B204" s="12"/>
      <c r="C204" s="13"/>
      <c r="D204" s="12"/>
      <c r="E204" s="14"/>
      <c r="F204" s="81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2:18" ht="18" customHeight="1" x14ac:dyDescent="0.25">
      <c r="B205" s="12"/>
      <c r="C205" s="13"/>
      <c r="D205" s="12"/>
      <c r="E205" s="14"/>
      <c r="F205" s="81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2:18" ht="18" customHeight="1" x14ac:dyDescent="0.25">
      <c r="B206" s="12"/>
      <c r="C206" s="13"/>
      <c r="D206" s="12"/>
      <c r="E206" s="14"/>
      <c r="F206" s="81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2:18" ht="18" customHeight="1" x14ac:dyDescent="0.25">
      <c r="B207" s="12"/>
      <c r="C207" s="13"/>
      <c r="D207" s="12"/>
      <c r="E207" s="14"/>
      <c r="F207" s="81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2:18" ht="18" customHeight="1" x14ac:dyDescent="0.25">
      <c r="B208" s="12"/>
      <c r="C208" s="13"/>
      <c r="D208" s="12"/>
      <c r="E208" s="14"/>
      <c r="F208" s="81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2:18" ht="18" customHeight="1" x14ac:dyDescent="0.25">
      <c r="B209" s="12"/>
      <c r="C209" s="13"/>
      <c r="D209" s="12"/>
      <c r="E209" s="14"/>
      <c r="F209" s="81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2:18" ht="18" customHeight="1" x14ac:dyDescent="0.25">
      <c r="B210" s="12"/>
      <c r="C210" s="13"/>
      <c r="D210" s="12"/>
      <c r="E210" s="14"/>
      <c r="F210" s="81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2:18" ht="18" customHeight="1" x14ac:dyDescent="0.25">
      <c r="B211" s="12"/>
      <c r="C211" s="13"/>
      <c r="D211" s="12"/>
      <c r="E211" s="14"/>
      <c r="F211" s="81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2:18" ht="18" customHeight="1" x14ac:dyDescent="0.25">
      <c r="B212" s="12"/>
      <c r="C212" s="13"/>
      <c r="D212" s="12"/>
      <c r="E212" s="14"/>
      <c r="F212" s="81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2:18" ht="18" customHeight="1" x14ac:dyDescent="0.25">
      <c r="B213" s="12"/>
      <c r="C213" s="13"/>
      <c r="D213" s="12"/>
      <c r="E213" s="14"/>
      <c r="F213" s="81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2:18" ht="18" customHeight="1" x14ac:dyDescent="0.25">
      <c r="B214" s="12"/>
      <c r="C214" s="13"/>
      <c r="D214" s="12"/>
      <c r="E214" s="14"/>
      <c r="F214" s="81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2:18" ht="18" customHeight="1" x14ac:dyDescent="0.25">
      <c r="B215" s="12"/>
      <c r="C215" s="13"/>
      <c r="D215" s="12"/>
      <c r="E215" s="14"/>
      <c r="F215" s="81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2:18" ht="18" customHeight="1" x14ac:dyDescent="0.25">
      <c r="B216" s="12"/>
      <c r="C216" s="13"/>
      <c r="D216" s="12"/>
      <c r="E216" s="14"/>
      <c r="F216" s="81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2:18" ht="18" customHeight="1" x14ac:dyDescent="0.25">
      <c r="B217" s="12"/>
      <c r="C217" s="13"/>
      <c r="D217" s="12"/>
      <c r="E217" s="14"/>
      <c r="F217" s="81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2:18" ht="18" customHeight="1" x14ac:dyDescent="0.25">
      <c r="B218" s="12"/>
      <c r="C218" s="13"/>
      <c r="D218" s="12"/>
      <c r="E218" s="14"/>
      <c r="F218" s="81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2:18" ht="18" customHeight="1" x14ac:dyDescent="0.25">
      <c r="B219" s="12"/>
      <c r="C219" s="13"/>
      <c r="D219" s="12"/>
      <c r="E219" s="14"/>
      <c r="F219" s="81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2:18" ht="18" customHeight="1" x14ac:dyDescent="0.25">
      <c r="B220" s="12"/>
      <c r="C220" s="13"/>
      <c r="D220" s="12"/>
      <c r="E220" s="14"/>
      <c r="F220" s="81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2:18" ht="18" customHeight="1" x14ac:dyDescent="0.25">
      <c r="B221" s="12"/>
      <c r="C221" s="13"/>
      <c r="D221" s="12"/>
      <c r="E221" s="14"/>
      <c r="F221" s="81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2:18" ht="18" customHeight="1" x14ac:dyDescent="0.25">
      <c r="B222" s="12"/>
      <c r="C222" s="13"/>
      <c r="D222" s="12"/>
      <c r="E222" s="14"/>
      <c r="F222" s="81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2:18" ht="18" customHeight="1" x14ac:dyDescent="0.25">
      <c r="B223" s="12"/>
      <c r="C223" s="13"/>
      <c r="D223" s="12"/>
      <c r="E223" s="14"/>
      <c r="F223" s="81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2:18" ht="18" customHeight="1" x14ac:dyDescent="0.25">
      <c r="B224" s="12"/>
      <c r="C224" s="13"/>
      <c r="D224" s="12"/>
      <c r="E224" s="14"/>
      <c r="F224" s="81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2:18" ht="18" customHeight="1" x14ac:dyDescent="0.25">
      <c r="B225" s="12"/>
      <c r="C225" s="13"/>
      <c r="D225" s="12"/>
      <c r="E225" s="14"/>
      <c r="F225" s="81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2:18" ht="18" customHeight="1" x14ac:dyDescent="0.25">
      <c r="B226" s="12"/>
      <c r="C226" s="13"/>
      <c r="D226" s="12"/>
      <c r="E226" s="14"/>
      <c r="F226" s="81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2:18" ht="18" customHeight="1" x14ac:dyDescent="0.25">
      <c r="B227" s="12"/>
      <c r="C227" s="13"/>
      <c r="D227" s="12"/>
      <c r="E227" s="14"/>
      <c r="F227" s="81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2:18" ht="18" customHeight="1" x14ac:dyDescent="0.25">
      <c r="B228" s="12"/>
      <c r="C228" s="13"/>
      <c r="D228" s="12"/>
      <c r="E228" s="14"/>
      <c r="F228" s="81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2:18" ht="18" customHeight="1" x14ac:dyDescent="0.25">
      <c r="B229" s="12"/>
      <c r="C229" s="13"/>
      <c r="D229" s="12"/>
      <c r="E229" s="14"/>
      <c r="F229" s="81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2:18" ht="18" customHeight="1" x14ac:dyDescent="0.25">
      <c r="B230" s="12"/>
      <c r="C230" s="13"/>
      <c r="D230" s="12"/>
      <c r="E230" s="14"/>
      <c r="F230" s="81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2:18" ht="18" customHeight="1" x14ac:dyDescent="0.25">
      <c r="B231" s="12"/>
      <c r="C231" s="13"/>
      <c r="D231" s="12"/>
      <c r="E231" s="14"/>
      <c r="F231" s="81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2:18" ht="18" customHeight="1" x14ac:dyDescent="0.25">
      <c r="B232" s="12"/>
      <c r="C232" s="13"/>
      <c r="D232" s="12"/>
      <c r="E232" s="14"/>
      <c r="F232" s="81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2:18" ht="18" customHeight="1" x14ac:dyDescent="0.25">
      <c r="B233" s="12"/>
      <c r="C233" s="13"/>
      <c r="D233" s="12"/>
      <c r="E233" s="14"/>
      <c r="F233" s="81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2:18" ht="18" customHeight="1" x14ac:dyDescent="0.25">
      <c r="B234" s="12"/>
      <c r="C234" s="13"/>
      <c r="D234" s="12"/>
      <c r="E234" s="14"/>
      <c r="F234" s="81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2:18" ht="18" customHeight="1" x14ac:dyDescent="0.25">
      <c r="B235" s="12"/>
      <c r="C235" s="13"/>
      <c r="D235" s="12"/>
      <c r="E235" s="14"/>
      <c r="F235" s="81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2:18" ht="18" customHeight="1" x14ac:dyDescent="0.25">
      <c r="B236" s="12"/>
      <c r="C236" s="13"/>
      <c r="D236" s="12"/>
      <c r="E236" s="14"/>
      <c r="F236" s="81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2:18" ht="18" customHeight="1" x14ac:dyDescent="0.25">
      <c r="B237" s="12"/>
      <c r="C237" s="13"/>
      <c r="D237" s="12"/>
      <c r="E237" s="14"/>
      <c r="F237" s="81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2:18" ht="18" customHeight="1" x14ac:dyDescent="0.25">
      <c r="B238" s="12"/>
      <c r="C238" s="13"/>
      <c r="D238" s="12"/>
      <c r="E238" s="14"/>
      <c r="F238" s="8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2:18" ht="18" customHeight="1" x14ac:dyDescent="0.25">
      <c r="B239" s="12"/>
      <c r="C239" s="13"/>
      <c r="D239" s="12"/>
      <c r="E239" s="14"/>
      <c r="F239" s="8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2:18" ht="18" customHeight="1" x14ac:dyDescent="0.25">
      <c r="B240" s="12"/>
      <c r="C240" s="13"/>
      <c r="D240" s="12"/>
      <c r="E240" s="14"/>
      <c r="F240" s="8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2:18" ht="18" customHeight="1" x14ac:dyDescent="0.25">
      <c r="B241" s="12"/>
      <c r="C241" s="13"/>
      <c r="D241" s="12"/>
      <c r="E241" s="14"/>
      <c r="F241" s="8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2:18" ht="18" customHeight="1" x14ac:dyDescent="0.25">
      <c r="B242" s="12"/>
      <c r="C242" s="13"/>
      <c r="D242" s="12"/>
      <c r="E242" s="14"/>
      <c r="F242" s="8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2:18" ht="18" customHeight="1" x14ac:dyDescent="0.25">
      <c r="B243" s="12"/>
      <c r="C243" s="13"/>
      <c r="D243" s="12"/>
      <c r="E243" s="14"/>
      <c r="F243" s="8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2:18" ht="18" customHeight="1" x14ac:dyDescent="0.25">
      <c r="B244" s="12"/>
      <c r="C244" s="13"/>
      <c r="D244" s="12"/>
      <c r="E244" s="14"/>
      <c r="F244" s="8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2:18" ht="18" customHeight="1" x14ac:dyDescent="0.25">
      <c r="B245" s="12"/>
      <c r="C245" s="13"/>
      <c r="D245" s="12"/>
      <c r="E245" s="14"/>
      <c r="F245" s="8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2:18" ht="18" customHeight="1" x14ac:dyDescent="0.25">
      <c r="B246" s="12"/>
      <c r="C246" s="13"/>
      <c r="D246" s="12"/>
      <c r="E246" s="14"/>
      <c r="F246" s="8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2:18" ht="18" customHeight="1" x14ac:dyDescent="0.25">
      <c r="B247" s="12"/>
      <c r="C247" s="13"/>
      <c r="D247" s="12"/>
      <c r="E247" s="14"/>
      <c r="F247" s="8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2:18" ht="18" customHeight="1" x14ac:dyDescent="0.25">
      <c r="B248" s="12"/>
      <c r="C248" s="13"/>
      <c r="D248" s="12"/>
      <c r="E248" s="14"/>
      <c r="F248" s="8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2:18" ht="18" customHeight="1" x14ac:dyDescent="0.25">
      <c r="B249" s="12"/>
      <c r="C249" s="13"/>
      <c r="D249" s="12"/>
      <c r="E249" s="14"/>
      <c r="F249" s="8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2:18" ht="18" customHeight="1" x14ac:dyDescent="0.25">
      <c r="B250" s="12"/>
      <c r="C250" s="13"/>
      <c r="D250" s="12"/>
      <c r="E250" s="14"/>
      <c r="F250" s="8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2:18" ht="18" customHeight="1" x14ac:dyDescent="0.25">
      <c r="B251" s="12"/>
      <c r="C251" s="13"/>
      <c r="D251" s="12"/>
      <c r="E251" s="14"/>
      <c r="F251" s="8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2:18" ht="18" customHeight="1" x14ac:dyDescent="0.25">
      <c r="B252" s="12"/>
      <c r="C252" s="13"/>
      <c r="D252" s="12"/>
      <c r="E252" s="14"/>
      <c r="F252" s="8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2:18" ht="18" customHeight="1" x14ac:dyDescent="0.25">
      <c r="B253" s="12"/>
      <c r="C253" s="13"/>
      <c r="D253" s="12"/>
      <c r="E253" s="14"/>
      <c r="F253" s="8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2:18" ht="18" customHeight="1" x14ac:dyDescent="0.25">
      <c r="B254" s="12"/>
      <c r="C254" s="13"/>
      <c r="D254" s="12"/>
      <c r="E254" s="14"/>
      <c r="F254" s="8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2:18" ht="18" customHeight="1" x14ac:dyDescent="0.25">
      <c r="B255" s="12"/>
      <c r="C255" s="13"/>
      <c r="D255" s="12"/>
      <c r="E255" s="14"/>
      <c r="F255" s="8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2:18" ht="18" customHeight="1" x14ac:dyDescent="0.25">
      <c r="B256" s="12"/>
      <c r="C256" s="13"/>
      <c r="D256" s="12"/>
      <c r="E256" s="14"/>
      <c r="F256" s="8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2:18" ht="18" customHeight="1" x14ac:dyDescent="0.25">
      <c r="B257" s="12"/>
      <c r="C257" s="13"/>
      <c r="D257" s="12"/>
      <c r="E257" s="14"/>
      <c r="F257" s="8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2:18" ht="18" customHeight="1" x14ac:dyDescent="0.25">
      <c r="B258" s="12"/>
      <c r="C258" s="13"/>
      <c r="D258" s="12"/>
      <c r="E258" s="14"/>
      <c r="F258" s="8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2:18" ht="18" customHeight="1" x14ac:dyDescent="0.25">
      <c r="B259" s="12"/>
      <c r="C259" s="13"/>
      <c r="D259" s="12"/>
      <c r="E259" s="14"/>
      <c r="F259" s="8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2:18" ht="18" customHeight="1" x14ac:dyDescent="0.25">
      <c r="B260" s="12"/>
      <c r="C260" s="13"/>
      <c r="D260" s="12"/>
      <c r="E260" s="14"/>
      <c r="F260" s="8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2:18" ht="18" customHeight="1" x14ac:dyDescent="0.25">
      <c r="B261" s="12"/>
      <c r="C261" s="13"/>
      <c r="D261" s="12"/>
      <c r="E261" s="14"/>
      <c r="F261" s="8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2:18" ht="18" customHeight="1" x14ac:dyDescent="0.25">
      <c r="B262" s="12"/>
      <c r="C262" s="13"/>
      <c r="D262" s="12"/>
      <c r="E262" s="14"/>
      <c r="F262" s="8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2:18" ht="18" customHeight="1" x14ac:dyDescent="0.25">
      <c r="B263" s="12"/>
      <c r="C263" s="13"/>
      <c r="D263" s="12"/>
      <c r="E263" s="14"/>
      <c r="F263" s="8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2:18" ht="18" customHeight="1" x14ac:dyDescent="0.25">
      <c r="B264" s="12"/>
      <c r="C264" s="13"/>
      <c r="D264" s="12"/>
      <c r="E264" s="14"/>
      <c r="F264" s="8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2:18" ht="18" customHeight="1" x14ac:dyDescent="0.25">
      <c r="B265" s="12"/>
      <c r="C265" s="13"/>
      <c r="D265" s="12"/>
      <c r="E265" s="14"/>
      <c r="F265" s="8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2:18" ht="18" customHeight="1" x14ac:dyDescent="0.25">
      <c r="B266" s="12"/>
      <c r="C266" s="13"/>
      <c r="D266" s="12"/>
      <c r="E266" s="14"/>
      <c r="F266" s="8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2:18" ht="18" customHeight="1" x14ac:dyDescent="0.25">
      <c r="B267" s="12"/>
      <c r="C267" s="13"/>
      <c r="D267" s="12"/>
      <c r="E267" s="14"/>
      <c r="F267" s="8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2:18" ht="18" customHeight="1" x14ac:dyDescent="0.25">
      <c r="B268" s="12"/>
      <c r="C268" s="13"/>
      <c r="D268" s="12"/>
      <c r="E268" s="14"/>
      <c r="F268" s="8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2:18" ht="18" customHeight="1" x14ac:dyDescent="0.25">
      <c r="B269" s="12"/>
      <c r="C269" s="13"/>
      <c r="D269" s="12"/>
      <c r="E269" s="14"/>
      <c r="F269" s="8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2:18" ht="18" customHeight="1" x14ac:dyDescent="0.25">
      <c r="B270" s="12"/>
      <c r="C270" s="13"/>
      <c r="D270" s="12"/>
      <c r="E270" s="14"/>
      <c r="F270" s="8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2:18" ht="18" customHeight="1" x14ac:dyDescent="0.25">
      <c r="B271" s="12"/>
      <c r="C271" s="13"/>
      <c r="D271" s="12"/>
      <c r="E271" s="14"/>
      <c r="F271" s="8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2:18" ht="18" customHeight="1" x14ac:dyDescent="0.25">
      <c r="B272" s="12"/>
      <c r="C272" s="13"/>
      <c r="D272" s="12"/>
      <c r="E272" s="14"/>
      <c r="F272" s="8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2:18" ht="18" customHeight="1" x14ac:dyDescent="0.25">
      <c r="B273" s="12"/>
      <c r="C273" s="13"/>
      <c r="D273" s="12"/>
      <c r="E273" s="14"/>
      <c r="F273" s="8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2:18" ht="18" customHeight="1" x14ac:dyDescent="0.25">
      <c r="B274" s="12"/>
      <c r="C274" s="13"/>
      <c r="D274" s="12"/>
      <c r="E274" s="14"/>
      <c r="F274" s="8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2:18" ht="18" customHeight="1" x14ac:dyDescent="0.25">
      <c r="B275" s="12"/>
      <c r="C275" s="13"/>
      <c r="D275" s="12"/>
      <c r="E275" s="14"/>
      <c r="F275" s="8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2:18" ht="18" customHeight="1" x14ac:dyDescent="0.25">
      <c r="B276" s="12"/>
      <c r="C276" s="13"/>
      <c r="D276" s="12"/>
      <c r="E276" s="14"/>
      <c r="F276" s="8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2:18" ht="18" customHeight="1" x14ac:dyDescent="0.25">
      <c r="B277" s="12"/>
      <c r="C277" s="13"/>
      <c r="D277" s="12"/>
      <c r="E277" s="14"/>
      <c r="F277" s="8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2:18" ht="18" customHeight="1" x14ac:dyDescent="0.25">
      <c r="B278" s="12"/>
      <c r="C278" s="13"/>
      <c r="D278" s="12"/>
      <c r="E278" s="14"/>
      <c r="F278" s="8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2:18" ht="18" customHeight="1" x14ac:dyDescent="0.25">
      <c r="B279" s="12"/>
      <c r="C279" s="13"/>
      <c r="D279" s="12"/>
      <c r="E279" s="14"/>
      <c r="F279" s="8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2:18" ht="18" customHeight="1" x14ac:dyDescent="0.25">
      <c r="B280" s="12"/>
      <c r="C280" s="13"/>
      <c r="D280" s="12"/>
      <c r="E280" s="14"/>
      <c r="F280" s="8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2:18" ht="18" customHeight="1" x14ac:dyDescent="0.25">
      <c r="B281" s="12"/>
      <c r="C281" s="13"/>
      <c r="D281" s="12"/>
      <c r="E281" s="14"/>
      <c r="F281" s="8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2:18" ht="18" customHeight="1" x14ac:dyDescent="0.25">
      <c r="B282" s="12"/>
      <c r="C282" s="13"/>
      <c r="D282" s="12"/>
      <c r="E282" s="14"/>
      <c r="F282" s="8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2:18" ht="18" customHeight="1" x14ac:dyDescent="0.25">
      <c r="B283" s="12"/>
      <c r="C283" s="13"/>
      <c r="D283" s="12"/>
      <c r="E283" s="14"/>
      <c r="F283" s="8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2:18" ht="18" customHeight="1" x14ac:dyDescent="0.25">
      <c r="B284" s="12"/>
      <c r="C284" s="13"/>
      <c r="D284" s="12"/>
      <c r="E284" s="14"/>
      <c r="F284" s="8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2:18" ht="18" customHeight="1" x14ac:dyDescent="0.25">
      <c r="B285" s="12"/>
      <c r="C285" s="13"/>
      <c r="D285" s="12"/>
      <c r="E285" s="14"/>
      <c r="F285" s="8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2:18" ht="18" customHeight="1" x14ac:dyDescent="0.25">
      <c r="B286" s="12"/>
      <c r="C286" s="13"/>
      <c r="D286" s="12"/>
      <c r="E286" s="14"/>
      <c r="F286" s="8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2:18" ht="18" customHeight="1" x14ac:dyDescent="0.25">
      <c r="B287" s="12"/>
      <c r="C287" s="13"/>
      <c r="D287" s="12"/>
      <c r="E287" s="14"/>
      <c r="F287" s="8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2:18" ht="18" customHeight="1" x14ac:dyDescent="0.25">
      <c r="B288" s="12"/>
      <c r="C288" s="13"/>
      <c r="D288" s="12"/>
      <c r="E288" s="14"/>
      <c r="F288" s="8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2:18" ht="18" customHeight="1" x14ac:dyDescent="0.25">
      <c r="B289" s="12"/>
      <c r="C289" s="13"/>
      <c r="D289" s="12"/>
      <c r="E289" s="14"/>
      <c r="F289" s="8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2:18" ht="18" customHeight="1" x14ac:dyDescent="0.25">
      <c r="B290" s="12"/>
      <c r="C290" s="13"/>
      <c r="D290" s="12"/>
      <c r="E290" s="14"/>
      <c r="F290" s="8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2:18" ht="18" customHeight="1" x14ac:dyDescent="0.25">
      <c r="B291" s="12"/>
      <c r="C291" s="13"/>
      <c r="D291" s="12"/>
      <c r="E291" s="14"/>
      <c r="F291" s="8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2:18" ht="18" customHeight="1" x14ac:dyDescent="0.25">
      <c r="B292" s="12"/>
      <c r="C292" s="13"/>
      <c r="D292" s="12"/>
      <c r="E292" s="14"/>
      <c r="F292" s="8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2:18" ht="18" customHeight="1" x14ac:dyDescent="0.25">
      <c r="B293" s="12"/>
      <c r="C293" s="13"/>
      <c r="D293" s="12"/>
      <c r="E293" s="14"/>
      <c r="F293" s="8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2:18" ht="18" customHeight="1" x14ac:dyDescent="0.25">
      <c r="B294" s="12"/>
      <c r="C294" s="13"/>
      <c r="D294" s="12"/>
      <c r="E294" s="14"/>
      <c r="F294" s="8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2:18" ht="18" customHeight="1" x14ac:dyDescent="0.25">
      <c r="B295" s="12"/>
      <c r="C295" s="13"/>
      <c r="D295" s="12"/>
      <c r="E295" s="14"/>
      <c r="F295" s="8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2:18" ht="18" customHeight="1" x14ac:dyDescent="0.25">
      <c r="B296" s="12"/>
      <c r="C296" s="13"/>
      <c r="D296" s="12"/>
      <c r="E296" s="14"/>
      <c r="F296" s="8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2:18" ht="18" customHeight="1" x14ac:dyDescent="0.25">
      <c r="B297" s="12"/>
      <c r="C297" s="13"/>
      <c r="D297" s="12"/>
      <c r="E297" s="14"/>
      <c r="F297" s="8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2:18" ht="18" customHeight="1" x14ac:dyDescent="0.25">
      <c r="B298" s="12"/>
      <c r="C298" s="13"/>
      <c r="D298" s="12"/>
      <c r="E298" s="14"/>
      <c r="F298" s="8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2:18" ht="18" customHeight="1" x14ac:dyDescent="0.25">
      <c r="B299" s="12"/>
      <c r="C299" s="13"/>
      <c r="D299" s="12"/>
      <c r="E299" s="14"/>
      <c r="F299" s="8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2:18" ht="18" customHeight="1" x14ac:dyDescent="0.25">
      <c r="B300" s="12"/>
      <c r="C300" s="13"/>
      <c r="D300" s="12"/>
      <c r="E300" s="14"/>
      <c r="F300" s="8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2:18" ht="18" customHeight="1" x14ac:dyDescent="0.25">
      <c r="B301" s="12"/>
      <c r="C301" s="13"/>
      <c r="D301" s="12"/>
      <c r="E301" s="14"/>
      <c r="F301" s="8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2:18" ht="18" customHeight="1" x14ac:dyDescent="0.25">
      <c r="B302" s="12"/>
      <c r="C302" s="13"/>
      <c r="D302" s="12"/>
      <c r="E302" s="14"/>
      <c r="F302" s="8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2:18" ht="18" customHeight="1" x14ac:dyDescent="0.25">
      <c r="B303" s="12"/>
      <c r="C303" s="13"/>
      <c r="D303" s="12"/>
      <c r="E303" s="14"/>
      <c r="F303" s="8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2:18" ht="18" customHeight="1" x14ac:dyDescent="0.25">
      <c r="B304" s="12"/>
      <c r="C304" s="13"/>
      <c r="D304" s="12"/>
      <c r="E304" s="14"/>
      <c r="F304" s="8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2:18" ht="18" customHeight="1" x14ac:dyDescent="0.25">
      <c r="B305" s="12"/>
      <c r="C305" s="13"/>
      <c r="D305" s="12"/>
      <c r="E305" s="14"/>
      <c r="F305" s="8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2:18" ht="18" customHeight="1" x14ac:dyDescent="0.25">
      <c r="B306" s="12"/>
      <c r="C306" s="13"/>
      <c r="D306" s="12"/>
      <c r="E306" s="14"/>
      <c r="F306" s="8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2:18" ht="18" customHeight="1" x14ac:dyDescent="0.25">
      <c r="B307" s="12"/>
      <c r="C307" s="13"/>
      <c r="D307" s="12"/>
      <c r="E307" s="14"/>
      <c r="F307" s="8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2:18" ht="18" customHeight="1" x14ac:dyDescent="0.25">
      <c r="B308" s="12"/>
      <c r="C308" s="13"/>
      <c r="D308" s="12"/>
      <c r="E308" s="14"/>
      <c r="F308" s="8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2:18" ht="18" customHeight="1" x14ac:dyDescent="0.25">
      <c r="B309" s="12"/>
      <c r="C309" s="13"/>
      <c r="D309" s="12"/>
      <c r="E309" s="14"/>
      <c r="F309" s="8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2:18" ht="18" customHeight="1" x14ac:dyDescent="0.25">
      <c r="B310" s="12"/>
      <c r="C310" s="13"/>
      <c r="D310" s="12"/>
      <c r="E310" s="14"/>
      <c r="F310" s="8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2:18" ht="18" customHeight="1" x14ac:dyDescent="0.25">
      <c r="B311" s="12"/>
      <c r="C311" s="13"/>
      <c r="D311" s="12"/>
      <c r="E311" s="14"/>
      <c r="F311" s="8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2:18" ht="18" customHeight="1" x14ac:dyDescent="0.25">
      <c r="B312" s="12"/>
      <c r="C312" s="13"/>
      <c r="D312" s="12"/>
      <c r="E312" s="14"/>
      <c r="F312" s="8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2:18" ht="18" customHeight="1" x14ac:dyDescent="0.25">
      <c r="B313" s="12"/>
      <c r="C313" s="13"/>
      <c r="D313" s="12"/>
      <c r="E313" s="14"/>
      <c r="F313" s="8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2:18" ht="18" customHeight="1" x14ac:dyDescent="0.25">
      <c r="B314" s="12"/>
      <c r="C314" s="13"/>
      <c r="D314" s="12"/>
      <c r="E314" s="14"/>
      <c r="F314" s="8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2:18" ht="18" customHeight="1" x14ac:dyDescent="0.25">
      <c r="B315" s="12"/>
      <c r="C315" s="13"/>
      <c r="D315" s="12"/>
      <c r="E315" s="14"/>
      <c r="F315" s="8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2:18" ht="18" customHeight="1" x14ac:dyDescent="0.25">
      <c r="B316" s="12"/>
      <c r="C316" s="13"/>
      <c r="D316" s="12"/>
      <c r="E316" s="14"/>
      <c r="F316" s="8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2:18" ht="18" customHeight="1" x14ac:dyDescent="0.25">
      <c r="B317" s="12"/>
      <c r="C317" s="13"/>
      <c r="D317" s="12"/>
      <c r="E317" s="14"/>
      <c r="F317" s="8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2:18" ht="18" customHeight="1" x14ac:dyDescent="0.25">
      <c r="B318" s="12"/>
      <c r="C318" s="13"/>
      <c r="D318" s="12"/>
      <c r="E318" s="14"/>
      <c r="F318" s="8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2:18" ht="18" customHeight="1" x14ac:dyDescent="0.25">
      <c r="B319" s="12"/>
      <c r="C319" s="13"/>
      <c r="D319" s="12"/>
      <c r="E319" s="14"/>
      <c r="F319" s="8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2:18" ht="18" customHeight="1" x14ac:dyDescent="0.25">
      <c r="B320" s="12"/>
      <c r="C320" s="13"/>
      <c r="D320" s="12"/>
      <c r="E320" s="14"/>
      <c r="F320" s="8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2:18" ht="18" customHeight="1" x14ac:dyDescent="0.25">
      <c r="B321" s="12"/>
      <c r="C321" s="13"/>
      <c r="D321" s="12"/>
      <c r="E321" s="14"/>
      <c r="F321" s="8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2:18" ht="18" customHeight="1" x14ac:dyDescent="0.25">
      <c r="B322" s="12"/>
      <c r="C322" s="13"/>
      <c r="D322" s="12"/>
      <c r="E322" s="14"/>
      <c r="F322" s="8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2:18" ht="18" customHeight="1" x14ac:dyDescent="0.25">
      <c r="B323" s="12"/>
      <c r="C323" s="13"/>
      <c r="D323" s="12"/>
      <c r="E323" s="14"/>
      <c r="F323" s="8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2:18" ht="18" customHeight="1" x14ac:dyDescent="0.25">
      <c r="B324" s="12"/>
      <c r="C324" s="13"/>
      <c r="D324" s="12"/>
      <c r="E324" s="14"/>
      <c r="F324" s="8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2:18" ht="18" customHeight="1" x14ac:dyDescent="0.25">
      <c r="B325" s="12"/>
      <c r="C325" s="13"/>
      <c r="D325" s="12"/>
      <c r="E325" s="14"/>
      <c r="F325" s="8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2:18" ht="18" customHeight="1" x14ac:dyDescent="0.25">
      <c r="B326" s="12"/>
      <c r="C326" s="13"/>
      <c r="D326" s="12"/>
      <c r="E326" s="14"/>
      <c r="F326" s="8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2:18" ht="18" customHeight="1" x14ac:dyDescent="0.25">
      <c r="B327" s="12"/>
      <c r="C327" s="13"/>
      <c r="D327" s="12"/>
      <c r="E327" s="14"/>
      <c r="F327" s="8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2:18" ht="18" customHeight="1" x14ac:dyDescent="0.25">
      <c r="B328" s="12"/>
      <c r="C328" s="13"/>
      <c r="D328" s="12"/>
      <c r="E328" s="14"/>
      <c r="F328" s="8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2:18" ht="18" customHeight="1" x14ac:dyDescent="0.25">
      <c r="B329" s="12"/>
      <c r="C329" s="13"/>
      <c r="D329" s="12"/>
      <c r="E329" s="14"/>
      <c r="F329" s="8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2:18" ht="18" customHeight="1" x14ac:dyDescent="0.25">
      <c r="B330" s="12"/>
      <c r="C330" s="13"/>
      <c r="D330" s="12"/>
      <c r="E330" s="14"/>
      <c r="F330" s="8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2:18" ht="18" customHeight="1" x14ac:dyDescent="0.25">
      <c r="B331" s="12"/>
      <c r="C331" s="13"/>
      <c r="D331" s="12"/>
      <c r="E331" s="14"/>
      <c r="F331" s="8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2:18" ht="18" customHeight="1" x14ac:dyDescent="0.25">
      <c r="B332" s="12"/>
      <c r="C332" s="13"/>
      <c r="D332" s="12"/>
      <c r="E332" s="14"/>
      <c r="F332" s="8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2:18" ht="18" customHeight="1" x14ac:dyDescent="0.25">
      <c r="B333" s="12"/>
      <c r="C333" s="13"/>
      <c r="D333" s="12"/>
      <c r="E333" s="14"/>
      <c r="F333" s="8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2:18" ht="18" customHeight="1" x14ac:dyDescent="0.25">
      <c r="B334" s="12"/>
      <c r="C334" s="13"/>
      <c r="D334" s="12"/>
      <c r="E334" s="14"/>
      <c r="F334" s="8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2:18" ht="18" customHeight="1" x14ac:dyDescent="0.25">
      <c r="B335" s="12"/>
      <c r="C335" s="13"/>
      <c r="D335" s="12"/>
      <c r="E335" s="14"/>
      <c r="F335" s="8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2:18" ht="18" customHeight="1" x14ac:dyDescent="0.25">
      <c r="B336" s="12"/>
      <c r="C336" s="13"/>
      <c r="D336" s="12"/>
      <c r="E336" s="14"/>
      <c r="F336" s="8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2:18" ht="18" customHeight="1" x14ac:dyDescent="0.25">
      <c r="B337" s="12"/>
      <c r="C337" s="13"/>
      <c r="D337" s="12"/>
      <c r="E337" s="14"/>
      <c r="F337" s="8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2:18" ht="18" customHeight="1" x14ac:dyDescent="0.25">
      <c r="B338" s="12"/>
      <c r="C338" s="13"/>
      <c r="D338" s="12"/>
      <c r="E338" s="14"/>
      <c r="F338" s="8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2:18" ht="18" customHeight="1" x14ac:dyDescent="0.25">
      <c r="B339" s="12"/>
      <c r="C339" s="13"/>
      <c r="D339" s="12"/>
      <c r="E339" s="14"/>
      <c r="F339" s="8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2:18" ht="18" customHeight="1" x14ac:dyDescent="0.25">
      <c r="B340" s="12"/>
      <c r="C340" s="13"/>
      <c r="D340" s="12"/>
      <c r="E340" s="14"/>
      <c r="F340" s="8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2:18" ht="18" customHeight="1" x14ac:dyDescent="0.25">
      <c r="B341" s="12"/>
      <c r="C341" s="13"/>
      <c r="D341" s="12"/>
      <c r="E341" s="14"/>
      <c r="F341" s="8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2:18" ht="18" customHeight="1" x14ac:dyDescent="0.25">
      <c r="B342" s="12"/>
      <c r="C342" s="13"/>
      <c r="D342" s="12"/>
      <c r="E342" s="14"/>
      <c r="F342" s="8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2:18" ht="18" customHeight="1" x14ac:dyDescent="0.25">
      <c r="B343" s="12"/>
      <c r="C343" s="13"/>
      <c r="D343" s="12"/>
      <c r="E343" s="14"/>
      <c r="F343" s="8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2:18" ht="18" customHeight="1" x14ac:dyDescent="0.25">
      <c r="B344" s="12"/>
      <c r="C344" s="13"/>
      <c r="D344" s="12"/>
      <c r="E344" s="14"/>
      <c r="F344" s="8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2:18" ht="18" customHeight="1" x14ac:dyDescent="0.25">
      <c r="B345" s="12"/>
      <c r="C345" s="13"/>
      <c r="D345" s="12"/>
      <c r="E345" s="14"/>
      <c r="F345" s="8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2:18" ht="18" customHeight="1" x14ac:dyDescent="0.25">
      <c r="B346" s="12"/>
      <c r="C346" s="13"/>
      <c r="D346" s="12"/>
      <c r="E346" s="14"/>
      <c r="F346" s="8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2:18" ht="18" customHeight="1" x14ac:dyDescent="0.25">
      <c r="B347" s="12"/>
      <c r="C347" s="13"/>
      <c r="D347" s="12"/>
      <c r="E347" s="14"/>
      <c r="F347" s="8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2:18" ht="18" customHeight="1" x14ac:dyDescent="0.25">
      <c r="B348" s="12"/>
      <c r="C348" s="13"/>
      <c r="D348" s="12"/>
      <c r="E348" s="14"/>
      <c r="F348" s="8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2:18" ht="18" customHeight="1" x14ac:dyDescent="0.25">
      <c r="B349" s="12"/>
      <c r="C349" s="13"/>
      <c r="D349" s="12"/>
      <c r="E349" s="14"/>
      <c r="F349" s="8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2:18" ht="18" customHeight="1" x14ac:dyDescent="0.25">
      <c r="B350" s="12"/>
      <c r="C350" s="13"/>
      <c r="D350" s="12"/>
      <c r="E350" s="14"/>
      <c r="F350" s="8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2:18" ht="18" customHeight="1" x14ac:dyDescent="0.25">
      <c r="B351" s="12"/>
      <c r="C351" s="13"/>
      <c r="D351" s="12"/>
      <c r="E351" s="14"/>
      <c r="F351" s="8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2:18" ht="18" customHeight="1" x14ac:dyDescent="0.25">
      <c r="B352" s="12"/>
      <c r="C352" s="13"/>
      <c r="D352" s="12"/>
      <c r="E352" s="14"/>
      <c r="F352" s="8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2:18" ht="18" customHeight="1" x14ac:dyDescent="0.25">
      <c r="B353" s="12"/>
      <c r="C353" s="13"/>
      <c r="D353" s="12"/>
      <c r="E353" s="14"/>
      <c r="F353" s="8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2:18" ht="18" customHeight="1" x14ac:dyDescent="0.25">
      <c r="B354" s="12"/>
      <c r="C354" s="13"/>
      <c r="D354" s="12"/>
      <c r="E354" s="14"/>
      <c r="F354" s="8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2:18" ht="18" customHeight="1" x14ac:dyDescent="0.25">
      <c r="B355" s="12"/>
      <c r="C355" s="13"/>
      <c r="D355" s="12"/>
      <c r="E355" s="14"/>
      <c r="F355" s="8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2:18" ht="18" customHeight="1" x14ac:dyDescent="0.25">
      <c r="B356" s="12"/>
      <c r="C356" s="13"/>
      <c r="D356" s="12"/>
      <c r="E356" s="14"/>
      <c r="F356" s="8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2:18" ht="18" customHeight="1" x14ac:dyDescent="0.25">
      <c r="B357" s="12"/>
      <c r="C357" s="13"/>
      <c r="D357" s="12"/>
      <c r="E357" s="14"/>
      <c r="F357" s="8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2:18" ht="18" customHeight="1" x14ac:dyDescent="0.25">
      <c r="B358" s="12"/>
      <c r="C358" s="13"/>
      <c r="D358" s="12"/>
      <c r="E358" s="14"/>
      <c r="F358" s="8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2:18" ht="18" customHeight="1" x14ac:dyDescent="0.25">
      <c r="B359" s="12"/>
      <c r="C359" s="13"/>
      <c r="D359" s="12"/>
      <c r="E359" s="14"/>
      <c r="F359" s="8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2:18" ht="18" customHeight="1" x14ac:dyDescent="0.25">
      <c r="B360" s="12"/>
      <c r="C360" s="13"/>
      <c r="D360" s="12"/>
      <c r="E360" s="14"/>
      <c r="F360" s="8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2:18" ht="18" customHeight="1" x14ac:dyDescent="0.25">
      <c r="B361" s="12"/>
      <c r="C361" s="13"/>
      <c r="D361" s="12"/>
      <c r="E361" s="14"/>
      <c r="F361" s="8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2:18" ht="18" customHeight="1" x14ac:dyDescent="0.25">
      <c r="B362" s="12"/>
      <c r="C362" s="13"/>
      <c r="D362" s="12"/>
      <c r="E362" s="14"/>
      <c r="F362" s="8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2:18" ht="18" customHeight="1" x14ac:dyDescent="0.25">
      <c r="B363" s="12"/>
      <c r="C363" s="13"/>
      <c r="D363" s="12"/>
      <c r="E363" s="14"/>
      <c r="F363" s="8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2:18" ht="18" customHeight="1" x14ac:dyDescent="0.25">
      <c r="B364" s="12"/>
      <c r="C364" s="13"/>
      <c r="D364" s="12"/>
      <c r="E364" s="14"/>
      <c r="F364" s="8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2:18" ht="18" customHeight="1" x14ac:dyDescent="0.25">
      <c r="B365" s="12"/>
      <c r="C365" s="13"/>
      <c r="D365" s="12"/>
      <c r="E365" s="14"/>
      <c r="F365" s="8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2:18" ht="18" customHeight="1" x14ac:dyDescent="0.25">
      <c r="B366" s="12"/>
      <c r="C366" s="13"/>
      <c r="D366" s="12"/>
      <c r="E366" s="14"/>
      <c r="F366" s="8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2:18" ht="18" customHeight="1" x14ac:dyDescent="0.25">
      <c r="B367" s="12"/>
      <c r="C367" s="13"/>
      <c r="D367" s="12"/>
      <c r="E367" s="14"/>
      <c r="F367" s="8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2:18" ht="18" customHeight="1" x14ac:dyDescent="0.25">
      <c r="B368" s="12"/>
      <c r="C368" s="13"/>
      <c r="D368" s="12"/>
      <c r="E368" s="14"/>
      <c r="F368" s="8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2:18" ht="18" customHeight="1" x14ac:dyDescent="0.25">
      <c r="B369" s="12"/>
      <c r="C369" s="13"/>
      <c r="D369" s="12"/>
      <c r="E369" s="14"/>
      <c r="F369" s="8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2:18" ht="18" customHeight="1" x14ac:dyDescent="0.25">
      <c r="B370" s="12"/>
      <c r="C370" s="13"/>
      <c r="D370" s="12"/>
      <c r="E370" s="14"/>
      <c r="F370" s="8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2:18" ht="18" customHeight="1" x14ac:dyDescent="0.25">
      <c r="B371" s="12"/>
      <c r="C371" s="13"/>
      <c r="D371" s="12"/>
      <c r="E371" s="14"/>
      <c r="F371" s="8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2:18" ht="18" customHeight="1" x14ac:dyDescent="0.25">
      <c r="B372" s="12"/>
      <c r="C372" s="13"/>
      <c r="D372" s="12"/>
      <c r="E372" s="14"/>
      <c r="F372" s="8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2:18" ht="18" customHeight="1" x14ac:dyDescent="0.25">
      <c r="B373" s="12"/>
      <c r="C373" s="13"/>
      <c r="D373" s="12"/>
      <c r="E373" s="14"/>
      <c r="F373" s="8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2:18" ht="18" customHeight="1" x14ac:dyDescent="0.25">
      <c r="B374" s="12"/>
      <c r="C374" s="13"/>
      <c r="D374" s="12"/>
      <c r="E374" s="14"/>
      <c r="F374" s="8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2:18" ht="18" customHeight="1" x14ac:dyDescent="0.25">
      <c r="B375" s="12"/>
      <c r="C375" s="13"/>
      <c r="D375" s="12"/>
      <c r="E375" s="14"/>
      <c r="F375" s="8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2:18" ht="18" customHeight="1" x14ac:dyDescent="0.25">
      <c r="B376" s="12"/>
      <c r="C376" s="13"/>
      <c r="D376" s="12"/>
      <c r="E376" s="14"/>
      <c r="F376" s="8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2:18" ht="18" customHeight="1" x14ac:dyDescent="0.25">
      <c r="B377" s="12"/>
      <c r="C377" s="13"/>
      <c r="D377" s="12"/>
      <c r="E377" s="14"/>
      <c r="F377" s="8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2:18" ht="18" customHeight="1" x14ac:dyDescent="0.25">
      <c r="B378" s="12"/>
      <c r="C378" s="13"/>
      <c r="D378" s="12"/>
      <c r="E378" s="14"/>
      <c r="F378" s="8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2:18" ht="18" customHeight="1" x14ac:dyDescent="0.25">
      <c r="B379" s="12"/>
      <c r="C379" s="13"/>
      <c r="D379" s="12"/>
      <c r="E379" s="14"/>
      <c r="F379" s="8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2:18" ht="18" customHeight="1" x14ac:dyDescent="0.25">
      <c r="B380" s="12"/>
      <c r="C380" s="13"/>
      <c r="D380" s="12"/>
      <c r="E380" s="14"/>
      <c r="F380" s="8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2:18" ht="18" customHeight="1" x14ac:dyDescent="0.25">
      <c r="B381" s="12"/>
      <c r="C381" s="13"/>
      <c r="D381" s="12"/>
      <c r="E381" s="14"/>
      <c r="F381" s="8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2:18" ht="18" customHeight="1" x14ac:dyDescent="0.25">
      <c r="B382" s="12"/>
      <c r="C382" s="13"/>
      <c r="D382" s="12"/>
      <c r="E382" s="14"/>
      <c r="F382" s="8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2:18" ht="18" customHeight="1" x14ac:dyDescent="0.25">
      <c r="B383" s="12"/>
      <c r="C383" s="13"/>
      <c r="D383" s="12"/>
      <c r="E383" s="14"/>
      <c r="F383" s="8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2:18" ht="18" customHeight="1" x14ac:dyDescent="0.25">
      <c r="B384" s="12"/>
      <c r="C384" s="13"/>
      <c r="D384" s="12"/>
      <c r="E384" s="14"/>
      <c r="F384" s="8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2:18" ht="18" customHeight="1" x14ac:dyDescent="0.25">
      <c r="B385" s="12"/>
      <c r="C385" s="13"/>
      <c r="D385" s="12"/>
      <c r="E385" s="14"/>
      <c r="F385" s="8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2:18" ht="18" customHeight="1" x14ac:dyDescent="0.25">
      <c r="B386" s="12"/>
      <c r="C386" s="13"/>
      <c r="D386" s="12"/>
      <c r="E386" s="14"/>
      <c r="F386" s="8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2:18" ht="18" customHeight="1" x14ac:dyDescent="0.25">
      <c r="B387" s="12"/>
      <c r="C387" s="13"/>
      <c r="D387" s="12"/>
      <c r="E387" s="14"/>
      <c r="F387" s="8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spans="2:18" ht="18" customHeight="1" x14ac:dyDescent="0.25">
      <c r="B388" s="12"/>
      <c r="C388" s="13"/>
      <c r="D388" s="12"/>
      <c r="E388" s="14"/>
      <c r="F388" s="8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spans="2:18" ht="18" customHeight="1" x14ac:dyDescent="0.25">
      <c r="B389" s="12"/>
      <c r="C389" s="13"/>
      <c r="D389" s="12"/>
      <c r="E389" s="14"/>
      <c r="F389" s="8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2:18" ht="18" customHeight="1" x14ac:dyDescent="0.25">
      <c r="B390" s="12"/>
      <c r="C390" s="13"/>
      <c r="D390" s="12"/>
      <c r="E390" s="14"/>
      <c r="F390" s="8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spans="2:18" ht="18" customHeight="1" x14ac:dyDescent="0.25">
      <c r="B391" s="12"/>
      <c r="C391" s="13"/>
      <c r="D391" s="12"/>
      <c r="E391" s="14"/>
      <c r="F391" s="8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2:18" ht="18" customHeight="1" x14ac:dyDescent="0.25">
      <c r="B392" s="12"/>
      <c r="C392" s="13"/>
      <c r="D392" s="12"/>
      <c r="E392" s="14"/>
      <c r="F392" s="8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2:18" ht="18" customHeight="1" x14ac:dyDescent="0.25">
      <c r="B393" s="12"/>
      <c r="C393" s="13"/>
      <c r="D393" s="12"/>
      <c r="E393" s="14"/>
      <c r="F393" s="8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2:18" ht="18" customHeight="1" x14ac:dyDescent="0.25">
      <c r="B394" s="12"/>
      <c r="C394" s="13"/>
      <c r="D394" s="12"/>
      <c r="E394" s="14"/>
      <c r="F394" s="8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2:18" ht="18" customHeight="1" x14ac:dyDescent="0.25">
      <c r="B395" s="12"/>
      <c r="C395" s="13"/>
      <c r="D395" s="12"/>
      <c r="E395" s="14"/>
      <c r="F395" s="8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2:18" ht="18" customHeight="1" x14ac:dyDescent="0.25">
      <c r="B396" s="12"/>
      <c r="C396" s="13"/>
      <c r="D396" s="12"/>
      <c r="E396" s="14"/>
      <c r="F396" s="8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2:18" ht="18" customHeight="1" x14ac:dyDescent="0.25">
      <c r="B397" s="12"/>
      <c r="C397" s="13"/>
      <c r="D397" s="12"/>
      <c r="E397" s="14"/>
      <c r="F397" s="8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spans="2:18" ht="18" customHeight="1" x14ac:dyDescent="0.25">
      <c r="B398" s="12"/>
      <c r="C398" s="13"/>
      <c r="D398" s="12"/>
      <c r="E398" s="14"/>
      <c r="F398" s="8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spans="2:18" ht="18" customHeight="1" x14ac:dyDescent="0.25">
      <c r="B399" s="12"/>
      <c r="C399" s="13"/>
      <c r="D399" s="12"/>
      <c r="E399" s="14"/>
      <c r="F399" s="8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2:18" ht="18" customHeight="1" x14ac:dyDescent="0.25">
      <c r="B400" s="12"/>
      <c r="C400" s="13"/>
      <c r="D400" s="12"/>
      <c r="E400" s="14"/>
      <c r="F400" s="8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spans="2:18" ht="18" customHeight="1" x14ac:dyDescent="0.25">
      <c r="B401" s="12"/>
      <c r="C401" s="13"/>
      <c r="D401" s="12"/>
      <c r="E401" s="14"/>
      <c r="F401" s="8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2:18" ht="18" customHeight="1" x14ac:dyDescent="0.25">
      <c r="B402" s="12"/>
      <c r="C402" s="13"/>
      <c r="D402" s="12"/>
      <c r="E402" s="14"/>
      <c r="F402" s="8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2:18" ht="18" customHeight="1" x14ac:dyDescent="0.25">
      <c r="B403" s="12"/>
      <c r="C403" s="13"/>
      <c r="D403" s="12"/>
      <c r="E403" s="14"/>
      <c r="F403" s="8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2:18" ht="18" customHeight="1" x14ac:dyDescent="0.25">
      <c r="B404" s="12"/>
      <c r="C404" s="13"/>
      <c r="D404" s="12"/>
      <c r="E404" s="14"/>
      <c r="F404" s="8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spans="2:18" ht="18" customHeight="1" x14ac:dyDescent="0.25">
      <c r="B405" s="12"/>
      <c r="C405" s="13"/>
      <c r="D405" s="12"/>
      <c r="E405" s="14"/>
      <c r="F405" s="8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spans="2:18" ht="18" customHeight="1" x14ac:dyDescent="0.25">
      <c r="B406" s="12"/>
      <c r="C406" s="13"/>
      <c r="D406" s="12"/>
      <c r="E406" s="14"/>
      <c r="F406" s="8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spans="2:18" ht="18" customHeight="1" x14ac:dyDescent="0.25">
      <c r="B407" s="12"/>
      <c r="C407" s="13"/>
      <c r="D407" s="12"/>
      <c r="E407" s="14"/>
      <c r="F407" s="8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spans="2:18" ht="18" customHeight="1" x14ac:dyDescent="0.25">
      <c r="B408" s="12"/>
      <c r="C408" s="13"/>
      <c r="D408" s="12"/>
      <c r="E408" s="14"/>
      <c r="F408" s="8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spans="2:18" ht="18" customHeight="1" x14ac:dyDescent="0.25">
      <c r="B409" s="12"/>
      <c r="C409" s="13"/>
      <c r="D409" s="12"/>
      <c r="E409" s="14"/>
      <c r="F409" s="8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2:18" ht="18" customHeight="1" x14ac:dyDescent="0.25">
      <c r="B410" s="12"/>
      <c r="C410" s="13"/>
      <c r="D410" s="12"/>
      <c r="E410" s="14"/>
      <c r="F410" s="8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2:18" ht="18" customHeight="1" x14ac:dyDescent="0.25">
      <c r="B411" s="12"/>
      <c r="C411" s="13"/>
      <c r="D411" s="12"/>
      <c r="E411" s="14"/>
      <c r="F411" s="8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2:18" ht="18" customHeight="1" x14ac:dyDescent="0.25">
      <c r="B412" s="12"/>
      <c r="C412" s="13"/>
      <c r="D412" s="12"/>
      <c r="E412" s="14"/>
      <c r="F412" s="8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spans="2:18" ht="18" customHeight="1" x14ac:dyDescent="0.25">
      <c r="B413" s="12"/>
      <c r="C413" s="13"/>
      <c r="D413" s="12"/>
      <c r="E413" s="14"/>
      <c r="F413" s="8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spans="2:18" ht="18" customHeight="1" x14ac:dyDescent="0.25">
      <c r="B414" s="12"/>
      <c r="C414" s="13"/>
      <c r="D414" s="12"/>
      <c r="E414" s="14"/>
      <c r="F414" s="81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spans="2:18" ht="18" customHeight="1" x14ac:dyDescent="0.25">
      <c r="B415" s="12"/>
      <c r="C415" s="13"/>
      <c r="D415" s="12"/>
      <c r="E415" s="14"/>
      <c r="F415" s="81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spans="2:18" ht="18" customHeight="1" x14ac:dyDescent="0.25">
      <c r="B416" s="12"/>
      <c r="C416" s="13"/>
      <c r="D416" s="12"/>
      <c r="E416" s="14"/>
      <c r="F416" s="8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spans="2:18" ht="18" customHeight="1" x14ac:dyDescent="0.25">
      <c r="B417" s="12"/>
      <c r="C417" s="13"/>
      <c r="D417" s="12"/>
      <c r="E417" s="14"/>
      <c r="F417" s="81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spans="2:18" ht="18" customHeight="1" x14ac:dyDescent="0.25">
      <c r="B418" s="12"/>
      <c r="C418" s="13"/>
      <c r="D418" s="12"/>
      <c r="E418" s="14"/>
      <c r="F418" s="81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2:18" ht="18" customHeight="1" x14ac:dyDescent="0.25">
      <c r="B419" s="12"/>
      <c r="C419" s="13"/>
      <c r="D419" s="12"/>
      <c r="E419" s="14"/>
      <c r="F419" s="81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spans="2:18" ht="18" customHeight="1" x14ac:dyDescent="0.25">
      <c r="B420" s="12"/>
      <c r="C420" s="13"/>
      <c r="D420" s="12"/>
      <c r="E420" s="14"/>
      <c r="F420" s="8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2:18" ht="18" customHeight="1" x14ac:dyDescent="0.25">
      <c r="B421" s="12"/>
      <c r="C421" s="13"/>
      <c r="D421" s="12"/>
      <c r="E421" s="14"/>
      <c r="F421" s="81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2:18" ht="18" customHeight="1" x14ac:dyDescent="0.25">
      <c r="B422" s="12"/>
      <c r="C422" s="13"/>
      <c r="D422" s="12"/>
      <c r="E422" s="14"/>
      <c r="F422" s="81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spans="2:18" ht="18" customHeight="1" x14ac:dyDescent="0.25">
      <c r="B423" s="12"/>
      <c r="C423" s="13"/>
      <c r="D423" s="12"/>
      <c r="E423" s="14"/>
      <c r="F423" s="81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2:18" ht="18" customHeight="1" x14ac:dyDescent="0.25">
      <c r="B424" s="12"/>
      <c r="C424" s="13"/>
      <c r="D424" s="12"/>
      <c r="E424" s="14"/>
      <c r="F424" s="8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spans="2:18" ht="18" customHeight="1" x14ac:dyDescent="0.25">
      <c r="B425" s="12"/>
      <c r="C425" s="13"/>
      <c r="D425" s="12"/>
      <c r="E425" s="14"/>
      <c r="F425" s="8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spans="2:18" ht="18" customHeight="1" x14ac:dyDescent="0.25">
      <c r="B426" s="12"/>
      <c r="C426" s="13"/>
      <c r="D426" s="12"/>
      <c r="E426" s="14"/>
      <c r="F426" s="8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spans="2:18" ht="18" customHeight="1" x14ac:dyDescent="0.25">
      <c r="B427" s="12"/>
      <c r="C427" s="13"/>
      <c r="D427" s="12"/>
      <c r="E427" s="14"/>
      <c r="F427" s="81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2:18" ht="18" customHeight="1" x14ac:dyDescent="0.25">
      <c r="B428" s="12"/>
      <c r="C428" s="13"/>
      <c r="D428" s="12"/>
      <c r="E428" s="14"/>
      <c r="F428" s="81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spans="2:18" ht="18" customHeight="1" x14ac:dyDescent="0.25">
      <c r="B429" s="12"/>
      <c r="C429" s="13"/>
      <c r="D429" s="12"/>
      <c r="E429" s="14"/>
      <c r="F429" s="81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spans="2:18" ht="18" customHeight="1" x14ac:dyDescent="0.25">
      <c r="B430" s="12"/>
      <c r="C430" s="13"/>
      <c r="D430" s="12"/>
      <c r="E430" s="14"/>
      <c r="F430" s="8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spans="2:18" ht="18" customHeight="1" x14ac:dyDescent="0.25">
      <c r="B431" s="12"/>
      <c r="C431" s="13"/>
      <c r="D431" s="12"/>
      <c r="E431" s="14"/>
      <c r="F431" s="81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2:18" ht="18" customHeight="1" x14ac:dyDescent="0.25">
      <c r="B432" s="12"/>
      <c r="C432" s="13"/>
      <c r="D432" s="12"/>
      <c r="E432" s="14"/>
      <c r="F432" s="8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spans="2:18" ht="18" customHeight="1" x14ac:dyDescent="0.25">
      <c r="B433" s="12"/>
      <c r="C433" s="13"/>
      <c r="D433" s="12"/>
      <c r="E433" s="14"/>
      <c r="F433" s="81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2:18" ht="18" customHeight="1" x14ac:dyDescent="0.25">
      <c r="B434" s="12"/>
      <c r="C434" s="13"/>
      <c r="D434" s="12"/>
      <c r="E434" s="14"/>
      <c r="F434" s="8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spans="2:18" ht="18" customHeight="1" x14ac:dyDescent="0.25">
      <c r="B435" s="12"/>
      <c r="C435" s="13"/>
      <c r="D435" s="12"/>
      <c r="E435" s="14"/>
      <c r="F435" s="8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spans="2:18" ht="18" customHeight="1" x14ac:dyDescent="0.25">
      <c r="B436" s="12"/>
      <c r="C436" s="13"/>
      <c r="D436" s="12"/>
      <c r="E436" s="14"/>
      <c r="F436" s="81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spans="2:18" ht="18" customHeight="1" x14ac:dyDescent="0.25">
      <c r="B437" s="12"/>
      <c r="C437" s="13"/>
      <c r="D437" s="12"/>
      <c r="E437" s="14"/>
      <c r="F437" s="81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2:18" ht="18" customHeight="1" x14ac:dyDescent="0.25">
      <c r="B438" s="12"/>
      <c r="C438" s="13"/>
      <c r="D438" s="12"/>
      <c r="E438" s="14"/>
      <c r="F438" s="8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spans="2:18" ht="18" customHeight="1" x14ac:dyDescent="0.25">
      <c r="B439" s="12"/>
      <c r="C439" s="13"/>
      <c r="D439" s="12"/>
      <c r="E439" s="14"/>
      <c r="F439" s="81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spans="2:18" ht="18" customHeight="1" x14ac:dyDescent="0.25">
      <c r="B440" s="12"/>
      <c r="C440" s="13"/>
      <c r="D440" s="12"/>
      <c r="E440" s="14"/>
      <c r="F440" s="81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spans="2:18" ht="18" customHeight="1" x14ac:dyDescent="0.25">
      <c r="B441" s="12"/>
      <c r="C441" s="13"/>
      <c r="D441" s="12"/>
      <c r="E441" s="14"/>
      <c r="F441" s="8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2:18" ht="18" customHeight="1" x14ac:dyDescent="0.25">
      <c r="B442" s="12"/>
      <c r="C442" s="13"/>
      <c r="D442" s="12"/>
      <c r="E442" s="14"/>
      <c r="F442" s="8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spans="2:18" ht="18" customHeight="1" x14ac:dyDescent="0.25">
      <c r="B443" s="12"/>
      <c r="C443" s="13"/>
      <c r="D443" s="12"/>
      <c r="E443" s="14"/>
      <c r="F443" s="81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2:18" ht="18" customHeight="1" x14ac:dyDescent="0.25">
      <c r="B444" s="12"/>
      <c r="C444" s="13"/>
      <c r="D444" s="12"/>
      <c r="E444" s="14"/>
      <c r="F444" s="81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spans="2:18" ht="18" customHeight="1" x14ac:dyDescent="0.25">
      <c r="B445" s="12"/>
      <c r="C445" s="13"/>
      <c r="D445" s="12"/>
      <c r="E445" s="14"/>
      <c r="F445" s="8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spans="2:18" ht="18" customHeight="1" x14ac:dyDescent="0.25">
      <c r="B446" s="12"/>
      <c r="C446" s="13"/>
      <c r="D446" s="12"/>
      <c r="E446" s="14"/>
      <c r="F446" s="81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spans="2:18" ht="18" customHeight="1" x14ac:dyDescent="0.25">
      <c r="B447" s="12"/>
      <c r="C447" s="13"/>
      <c r="D447" s="12"/>
      <c r="E447" s="14"/>
      <c r="F447" s="81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2:18" ht="18" customHeight="1" x14ac:dyDescent="0.25">
      <c r="B448" s="12"/>
      <c r="C448" s="13"/>
      <c r="D448" s="12"/>
      <c r="E448" s="14"/>
      <c r="F448" s="8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spans="2:18" ht="18" customHeight="1" x14ac:dyDescent="0.25">
      <c r="B449" s="12"/>
      <c r="C449" s="13"/>
      <c r="D449" s="12"/>
      <c r="E449" s="14"/>
      <c r="F449" s="81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spans="2:18" ht="18" customHeight="1" x14ac:dyDescent="0.25">
      <c r="B450" s="12"/>
      <c r="C450" s="13"/>
      <c r="D450" s="12"/>
      <c r="E450" s="14"/>
      <c r="F450" s="81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spans="2:18" ht="18" customHeight="1" x14ac:dyDescent="0.25">
      <c r="B451" s="12"/>
      <c r="C451" s="13"/>
      <c r="D451" s="12"/>
      <c r="E451" s="14"/>
      <c r="F451" s="81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2:18" ht="18" customHeight="1" x14ac:dyDescent="0.25">
      <c r="B452" s="12"/>
      <c r="C452" s="13"/>
      <c r="D452" s="12"/>
      <c r="E452" s="14"/>
      <c r="F452" s="81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2:18" ht="18" customHeight="1" x14ac:dyDescent="0.25">
      <c r="B453" s="12"/>
      <c r="C453" s="13"/>
      <c r="D453" s="12"/>
      <c r="E453" s="14"/>
      <c r="F453" s="81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2:18" ht="18" customHeight="1" x14ac:dyDescent="0.25">
      <c r="B454" s="12"/>
      <c r="C454" s="13"/>
      <c r="D454" s="12"/>
      <c r="E454" s="14"/>
      <c r="F454" s="81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spans="2:18" ht="18" customHeight="1" x14ac:dyDescent="0.25">
      <c r="B455" s="12"/>
      <c r="C455" s="13"/>
      <c r="D455" s="12"/>
      <c r="E455" s="14"/>
      <c r="F455" s="81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spans="2:18" ht="18" customHeight="1" x14ac:dyDescent="0.25">
      <c r="B456" s="12"/>
      <c r="C456" s="13"/>
      <c r="D456" s="12"/>
      <c r="E456" s="14"/>
      <c r="F456" s="81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spans="2:18" ht="18" customHeight="1" x14ac:dyDescent="0.25">
      <c r="B457" s="12"/>
      <c r="C457" s="13"/>
      <c r="D457" s="12"/>
      <c r="E457" s="14"/>
      <c r="F457" s="8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spans="2:18" ht="18" customHeight="1" x14ac:dyDescent="0.25">
      <c r="B458" s="12"/>
      <c r="C458" s="13"/>
      <c r="D458" s="12"/>
      <c r="E458" s="14"/>
      <c r="F458" s="8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spans="2:18" ht="18" customHeight="1" x14ac:dyDescent="0.25">
      <c r="B459" s="12"/>
      <c r="C459" s="13"/>
      <c r="D459" s="12"/>
      <c r="E459" s="14"/>
      <c r="F459" s="81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spans="2:18" ht="18" customHeight="1" x14ac:dyDescent="0.25">
      <c r="B460" s="12"/>
      <c r="C460" s="13"/>
      <c r="D460" s="12"/>
      <c r="E460" s="14"/>
      <c r="F460" s="8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spans="2:18" ht="18" customHeight="1" x14ac:dyDescent="0.25">
      <c r="B461" s="12"/>
      <c r="C461" s="13"/>
      <c r="D461" s="12"/>
      <c r="E461" s="14"/>
      <c r="F461" s="8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2:18" ht="18" customHeight="1" x14ac:dyDescent="0.25">
      <c r="B462" s="12"/>
      <c r="C462" s="13"/>
      <c r="D462" s="12"/>
      <c r="E462" s="14"/>
      <c r="F462" s="81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2:18" ht="18" customHeight="1" x14ac:dyDescent="0.25">
      <c r="B463" s="12"/>
      <c r="C463" s="13"/>
      <c r="D463" s="12"/>
      <c r="E463" s="14"/>
      <c r="F463" s="8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spans="2:18" ht="18" customHeight="1" x14ac:dyDescent="0.25">
      <c r="B464" s="12"/>
      <c r="C464" s="13"/>
      <c r="D464" s="12"/>
      <c r="E464" s="14"/>
      <c r="F464" s="8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spans="2:18" ht="18" customHeight="1" x14ac:dyDescent="0.25">
      <c r="B465" s="12"/>
      <c r="C465" s="13"/>
      <c r="D465" s="12"/>
      <c r="E465" s="14"/>
      <c r="F465" s="81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spans="2:18" ht="18" customHeight="1" x14ac:dyDescent="0.25">
      <c r="B466" s="12"/>
      <c r="C466" s="13"/>
      <c r="D466" s="12"/>
      <c r="E466" s="14"/>
      <c r="F466" s="8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spans="2:18" ht="18" customHeight="1" x14ac:dyDescent="0.25">
      <c r="B467" s="12"/>
      <c r="C467" s="13"/>
      <c r="D467" s="12"/>
      <c r="E467" s="14"/>
      <c r="F467" s="81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spans="2:18" ht="18" customHeight="1" x14ac:dyDescent="0.25">
      <c r="B468" s="12"/>
      <c r="C468" s="13"/>
      <c r="D468" s="12"/>
      <c r="E468" s="14"/>
      <c r="F468" s="81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spans="2:18" ht="18" customHeight="1" x14ac:dyDescent="0.25">
      <c r="B469" s="12"/>
      <c r="C469" s="13"/>
      <c r="D469" s="12"/>
      <c r="E469" s="14"/>
      <c r="F469" s="8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spans="2:18" ht="18" customHeight="1" x14ac:dyDescent="0.25">
      <c r="B470" s="12"/>
      <c r="C470" s="13"/>
      <c r="D470" s="12"/>
      <c r="E470" s="14"/>
      <c r="F470" s="8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spans="2:18" ht="18" customHeight="1" x14ac:dyDescent="0.25">
      <c r="B471" s="12"/>
      <c r="C471" s="13"/>
      <c r="D471" s="12"/>
      <c r="E471" s="14"/>
      <c r="F471" s="8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2:18" ht="18" customHeight="1" x14ac:dyDescent="0.25">
      <c r="B472" s="12"/>
      <c r="C472" s="13"/>
      <c r="D472" s="12"/>
      <c r="E472" s="14"/>
      <c r="F472" s="81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2:18" ht="18" customHeight="1" x14ac:dyDescent="0.25">
      <c r="B473" s="12"/>
      <c r="C473" s="13"/>
      <c r="D473" s="12"/>
      <c r="E473" s="14"/>
      <c r="F473" s="8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spans="2:18" ht="18" customHeight="1" x14ac:dyDescent="0.25">
      <c r="B474" s="12"/>
      <c r="C474" s="13"/>
      <c r="D474" s="12"/>
      <c r="E474" s="14"/>
      <c r="F474" s="81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spans="2:18" ht="18" customHeight="1" x14ac:dyDescent="0.25">
      <c r="B475" s="12"/>
      <c r="C475" s="13"/>
      <c r="D475" s="12"/>
      <c r="E475" s="14"/>
      <c r="F475" s="8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spans="2:18" ht="18" customHeight="1" x14ac:dyDescent="0.25">
      <c r="B476" s="12"/>
      <c r="C476" s="13"/>
      <c r="D476" s="12"/>
      <c r="E476" s="14"/>
      <c r="F476" s="81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spans="2:18" ht="18" customHeight="1" x14ac:dyDescent="0.25">
      <c r="B477" s="12"/>
      <c r="C477" s="13"/>
      <c r="D477" s="12"/>
      <c r="E477" s="14"/>
      <c r="F477" s="8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spans="2:18" ht="18" customHeight="1" x14ac:dyDescent="0.25">
      <c r="B478" s="12"/>
      <c r="C478" s="13"/>
      <c r="D478" s="12"/>
      <c r="E478" s="14"/>
      <c r="F478" s="8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spans="2:18" ht="18" customHeight="1" x14ac:dyDescent="0.25">
      <c r="B479" s="12"/>
      <c r="C479" s="13"/>
      <c r="D479" s="12"/>
      <c r="E479" s="14"/>
      <c r="F479" s="81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spans="2:18" ht="18" customHeight="1" x14ac:dyDescent="0.25">
      <c r="B480" s="12"/>
      <c r="C480" s="13"/>
      <c r="D480" s="12"/>
      <c r="E480" s="14"/>
      <c r="F480" s="81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spans="2:18" ht="18" customHeight="1" x14ac:dyDescent="0.25">
      <c r="B481" s="12"/>
      <c r="C481" s="13"/>
      <c r="D481" s="12"/>
      <c r="E481" s="14"/>
      <c r="F481" s="81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2:18" ht="18" customHeight="1" x14ac:dyDescent="0.25">
      <c r="B482" s="12"/>
      <c r="C482" s="13"/>
      <c r="D482" s="12"/>
      <c r="E482" s="14"/>
      <c r="F482" s="81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2:18" ht="18" customHeight="1" x14ac:dyDescent="0.25">
      <c r="B483" s="12"/>
      <c r="C483" s="13"/>
      <c r="D483" s="12"/>
      <c r="E483" s="14"/>
      <c r="F483" s="81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2:18" ht="18" customHeight="1" x14ac:dyDescent="0.25">
      <c r="B484" s="12"/>
      <c r="C484" s="13"/>
      <c r="D484" s="12"/>
      <c r="E484" s="14"/>
      <c r="F484" s="81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2:18" ht="18" customHeight="1" x14ac:dyDescent="0.25">
      <c r="B485" s="12"/>
      <c r="C485" s="13"/>
      <c r="D485" s="12"/>
      <c r="E485" s="14"/>
      <c r="F485" s="81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2:18" ht="18" customHeight="1" x14ac:dyDescent="0.25">
      <c r="B486" s="12"/>
      <c r="C486" s="13"/>
      <c r="D486" s="12"/>
      <c r="E486" s="14"/>
      <c r="F486" s="81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spans="2:18" ht="18" customHeight="1" x14ac:dyDescent="0.25">
      <c r="B487" s="12"/>
      <c r="C487" s="13"/>
      <c r="D487" s="12"/>
      <c r="E487" s="14"/>
      <c r="F487" s="81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spans="2:18" ht="18" customHeight="1" x14ac:dyDescent="0.25">
      <c r="B488" s="12"/>
      <c r="C488" s="13"/>
      <c r="D488" s="12"/>
      <c r="E488" s="14"/>
      <c r="F488" s="81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spans="2:18" ht="18" customHeight="1" x14ac:dyDescent="0.25">
      <c r="B489" s="12"/>
      <c r="C489" s="13"/>
      <c r="D489" s="12"/>
      <c r="E489" s="14"/>
      <c r="F489" s="8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2:18" ht="18" customHeight="1" x14ac:dyDescent="0.25">
      <c r="B490" s="12"/>
      <c r="C490" s="13"/>
      <c r="D490" s="12"/>
      <c r="E490" s="14"/>
      <c r="F490" s="8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spans="2:18" ht="18" customHeight="1" x14ac:dyDescent="0.25">
      <c r="B491" s="12"/>
      <c r="C491" s="13"/>
      <c r="D491" s="12"/>
      <c r="E491" s="14"/>
      <c r="F491" s="81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2:18" ht="18" customHeight="1" x14ac:dyDescent="0.25">
      <c r="B492" s="12"/>
      <c r="C492" s="13"/>
      <c r="D492" s="12"/>
      <c r="E492" s="14"/>
      <c r="F492" s="81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spans="2:18" ht="18" customHeight="1" x14ac:dyDescent="0.25">
      <c r="B493" s="12"/>
      <c r="C493" s="13"/>
      <c r="D493" s="12"/>
      <c r="E493" s="14"/>
      <c r="F493" s="81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2:18" ht="18" customHeight="1" x14ac:dyDescent="0.25">
      <c r="B494" s="12"/>
      <c r="C494" s="13"/>
      <c r="D494" s="12"/>
      <c r="E494" s="14"/>
      <c r="F494" s="8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2:18" ht="18" customHeight="1" x14ac:dyDescent="0.25">
      <c r="B495" s="12"/>
      <c r="C495" s="13"/>
      <c r="D495" s="12"/>
      <c r="E495" s="14"/>
      <c r="F495" s="81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2:18" ht="18" customHeight="1" x14ac:dyDescent="0.25">
      <c r="B496" s="12"/>
      <c r="C496" s="13"/>
      <c r="D496" s="12"/>
      <c r="E496" s="14"/>
      <c r="F496" s="81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spans="2:18" ht="18" customHeight="1" x14ac:dyDescent="0.25">
      <c r="B497" s="12"/>
      <c r="C497" s="13"/>
      <c r="D497" s="12"/>
      <c r="E497" s="14"/>
      <c r="F497" s="8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2:18" ht="18" customHeight="1" x14ac:dyDescent="0.25">
      <c r="B498" s="12"/>
      <c r="C498" s="13"/>
      <c r="D498" s="12"/>
      <c r="E498" s="14"/>
      <c r="F498" s="81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spans="2:18" ht="18" customHeight="1" x14ac:dyDescent="0.25">
      <c r="B499" s="12"/>
      <c r="C499" s="13"/>
      <c r="D499" s="12"/>
      <c r="E499" s="14"/>
      <c r="F499" s="8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2:18" ht="18" customHeight="1" x14ac:dyDescent="0.25">
      <c r="B500" s="12"/>
      <c r="C500" s="13"/>
      <c r="D500" s="12"/>
      <c r="E500" s="14"/>
      <c r="F500" s="8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spans="2:18" ht="18" customHeight="1" x14ac:dyDescent="0.25">
      <c r="B501" s="12"/>
      <c r="C501" s="13"/>
      <c r="D501" s="12"/>
      <c r="E501" s="14"/>
      <c r="F501" s="8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2:18" ht="18" customHeight="1" x14ac:dyDescent="0.25">
      <c r="B502" s="12"/>
      <c r="C502" s="13"/>
      <c r="D502" s="12"/>
      <c r="E502" s="14"/>
      <c r="F502" s="81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spans="2:18" ht="18" customHeight="1" x14ac:dyDescent="0.25">
      <c r="B503" s="12"/>
      <c r="C503" s="13"/>
      <c r="D503" s="12"/>
      <c r="E503" s="14"/>
      <c r="F503" s="81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2:18" ht="18" customHeight="1" x14ac:dyDescent="0.25">
      <c r="B504" s="12"/>
      <c r="C504" s="13"/>
      <c r="D504" s="12"/>
      <c r="E504" s="14"/>
      <c r="F504" s="81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spans="2:18" ht="18" customHeight="1" x14ac:dyDescent="0.25">
      <c r="B505" s="12"/>
      <c r="C505" s="13"/>
      <c r="D505" s="12"/>
      <c r="E505" s="14"/>
      <c r="F505" s="8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2:18" ht="18" customHeight="1" x14ac:dyDescent="0.25">
      <c r="B506" s="12"/>
      <c r="C506" s="13"/>
      <c r="D506" s="12"/>
      <c r="E506" s="14"/>
      <c r="F506" s="8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spans="2:18" ht="18" customHeight="1" x14ac:dyDescent="0.25">
      <c r="B507" s="12"/>
      <c r="C507" s="13"/>
      <c r="D507" s="12"/>
      <c r="E507" s="14"/>
      <c r="F507" s="8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spans="2:18" ht="18" customHeight="1" x14ac:dyDescent="0.25">
      <c r="B508" s="12"/>
      <c r="C508" s="13"/>
      <c r="D508" s="12"/>
      <c r="E508" s="14"/>
      <c r="F508" s="8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spans="2:18" ht="18" customHeight="1" x14ac:dyDescent="0.25">
      <c r="B509" s="12"/>
      <c r="C509" s="13"/>
      <c r="D509" s="12"/>
      <c r="E509" s="14"/>
      <c r="F509" s="8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2:18" ht="18" customHeight="1" x14ac:dyDescent="0.25">
      <c r="B510" s="12"/>
      <c r="C510" s="13"/>
      <c r="D510" s="12"/>
      <c r="E510" s="14"/>
      <c r="F510" s="81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spans="2:18" ht="18" customHeight="1" x14ac:dyDescent="0.25">
      <c r="B511" s="12"/>
      <c r="C511" s="13"/>
      <c r="D511" s="12"/>
      <c r="E511" s="14"/>
      <c r="F511" s="8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2:18" ht="18" customHeight="1" x14ac:dyDescent="0.25">
      <c r="B512" s="12"/>
      <c r="C512" s="13"/>
      <c r="D512" s="12"/>
      <c r="E512" s="14"/>
      <c r="F512" s="8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2:18" ht="18" customHeight="1" x14ac:dyDescent="0.25">
      <c r="B513" s="12"/>
      <c r="C513" s="13"/>
      <c r="D513" s="12"/>
      <c r="E513" s="14"/>
      <c r="F513" s="81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2:18" ht="18" customHeight="1" x14ac:dyDescent="0.25">
      <c r="B514" s="12"/>
      <c r="C514" s="13"/>
      <c r="D514" s="12"/>
      <c r="E514" s="14"/>
      <c r="F514" s="81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2:18" ht="18" customHeight="1" x14ac:dyDescent="0.25">
      <c r="B515" s="12"/>
      <c r="C515" s="13"/>
      <c r="D515" s="12"/>
      <c r="E515" s="14"/>
      <c r="F515" s="81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spans="2:18" ht="18" customHeight="1" x14ac:dyDescent="0.25">
      <c r="B516" s="12"/>
      <c r="C516" s="13"/>
      <c r="D516" s="12"/>
      <c r="E516" s="14"/>
      <c r="F516" s="81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spans="2:18" ht="18" customHeight="1" x14ac:dyDescent="0.25">
      <c r="B517" s="12"/>
      <c r="C517" s="13"/>
      <c r="D517" s="12"/>
      <c r="E517" s="14"/>
      <c r="F517" s="81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spans="2:18" ht="18" customHeight="1" x14ac:dyDescent="0.25">
      <c r="B518" s="12"/>
      <c r="C518" s="13"/>
      <c r="D518" s="12"/>
      <c r="E518" s="14"/>
      <c r="F518" s="81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spans="2:18" ht="18" customHeight="1" x14ac:dyDescent="0.25">
      <c r="B519" s="12"/>
      <c r="C519" s="13"/>
      <c r="D519" s="12"/>
      <c r="E519" s="14"/>
      <c r="F519" s="81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spans="2:18" ht="18" customHeight="1" x14ac:dyDescent="0.25">
      <c r="B520" s="12"/>
      <c r="C520" s="13"/>
      <c r="D520" s="12"/>
      <c r="E520" s="14"/>
      <c r="F520" s="81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spans="2:18" ht="18" customHeight="1" x14ac:dyDescent="0.25">
      <c r="B521" s="12"/>
      <c r="C521" s="13"/>
      <c r="D521" s="12"/>
      <c r="E521" s="14"/>
      <c r="F521" s="81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2:18" ht="18" customHeight="1" x14ac:dyDescent="0.25">
      <c r="B522" s="12"/>
      <c r="C522" s="13"/>
      <c r="D522" s="12"/>
      <c r="E522" s="14"/>
      <c r="F522" s="81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2:18" ht="18" customHeight="1" x14ac:dyDescent="0.25">
      <c r="B523" s="12"/>
      <c r="C523" s="13"/>
      <c r="D523" s="12"/>
      <c r="E523" s="14"/>
      <c r="F523" s="81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spans="2:18" ht="18" customHeight="1" x14ac:dyDescent="0.25">
      <c r="B524" s="12"/>
      <c r="C524" s="13"/>
      <c r="D524" s="12"/>
      <c r="E524" s="14"/>
      <c r="F524" s="81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2:18" ht="18" customHeight="1" x14ac:dyDescent="0.25">
      <c r="B525" s="12"/>
      <c r="C525" s="13"/>
      <c r="D525" s="12"/>
      <c r="E525" s="14"/>
      <c r="F525" s="81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2:18" ht="18" customHeight="1" x14ac:dyDescent="0.25">
      <c r="B526" s="12"/>
      <c r="C526" s="13"/>
      <c r="D526" s="12"/>
      <c r="E526" s="14"/>
      <c r="F526" s="81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spans="2:18" ht="18" customHeight="1" x14ac:dyDescent="0.25">
      <c r="B527" s="12"/>
      <c r="C527" s="13"/>
      <c r="D527" s="12"/>
      <c r="E527" s="14"/>
      <c r="F527" s="81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spans="2:18" ht="18" customHeight="1" x14ac:dyDescent="0.25">
      <c r="B528" s="12"/>
      <c r="C528" s="13"/>
      <c r="D528" s="12"/>
      <c r="E528" s="14"/>
      <c r="F528" s="81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spans="2:18" ht="18" customHeight="1" x14ac:dyDescent="0.25">
      <c r="B529" s="12"/>
      <c r="C529" s="13"/>
      <c r="D529" s="12"/>
      <c r="E529" s="14"/>
      <c r="F529" s="81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spans="2:18" ht="18" customHeight="1" x14ac:dyDescent="0.25">
      <c r="B530" s="12"/>
      <c r="C530" s="13"/>
      <c r="D530" s="12"/>
      <c r="E530" s="14"/>
      <c r="F530" s="81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spans="2:18" ht="18" customHeight="1" x14ac:dyDescent="0.25">
      <c r="B531" s="12"/>
      <c r="C531" s="13"/>
      <c r="D531" s="12"/>
      <c r="E531" s="14"/>
      <c r="F531" s="81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2:18" ht="18" customHeight="1" x14ac:dyDescent="0.25">
      <c r="B532" s="12"/>
      <c r="C532" s="13"/>
      <c r="D532" s="12"/>
      <c r="E532" s="14"/>
      <c r="F532" s="81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spans="2:18" ht="18" customHeight="1" x14ac:dyDescent="0.25">
      <c r="B533" s="12"/>
      <c r="C533" s="13"/>
      <c r="D533" s="12"/>
      <c r="E533" s="14"/>
      <c r="F533" s="81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spans="2:18" ht="18" customHeight="1" x14ac:dyDescent="0.25">
      <c r="B534" s="12"/>
      <c r="C534" s="13"/>
      <c r="D534" s="12"/>
      <c r="E534" s="14"/>
      <c r="F534" s="81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2:18" ht="18" customHeight="1" x14ac:dyDescent="0.25">
      <c r="B535" s="12"/>
      <c r="C535" s="13"/>
      <c r="D535" s="12"/>
      <c r="E535" s="14"/>
      <c r="F535" s="81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spans="2:18" ht="18" customHeight="1" x14ac:dyDescent="0.25">
      <c r="B536" s="12"/>
      <c r="C536" s="13"/>
      <c r="D536" s="12"/>
      <c r="E536" s="14"/>
      <c r="F536" s="81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spans="2:18" ht="18" customHeight="1" x14ac:dyDescent="0.25">
      <c r="B537" s="12"/>
      <c r="C537" s="13"/>
      <c r="D537" s="12"/>
      <c r="E537" s="14"/>
      <c r="F537" s="81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spans="2:18" ht="18" customHeight="1" x14ac:dyDescent="0.25">
      <c r="B538" s="12"/>
      <c r="C538" s="13"/>
      <c r="D538" s="12"/>
      <c r="E538" s="14"/>
      <c r="F538" s="81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spans="2:18" ht="18" customHeight="1" x14ac:dyDescent="0.25">
      <c r="B539" s="12"/>
      <c r="C539" s="13"/>
      <c r="D539" s="12"/>
      <c r="E539" s="14"/>
      <c r="F539" s="81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spans="2:18" ht="18" customHeight="1" x14ac:dyDescent="0.25">
      <c r="B540" s="12"/>
      <c r="C540" s="13"/>
      <c r="D540" s="12"/>
      <c r="E540" s="14"/>
      <c r="F540" s="81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spans="2:18" ht="18" customHeight="1" x14ac:dyDescent="0.25">
      <c r="B541" s="12"/>
      <c r="C541" s="13"/>
      <c r="D541" s="12"/>
      <c r="E541" s="14"/>
      <c r="F541" s="81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2:18" ht="18" customHeight="1" x14ac:dyDescent="0.25">
      <c r="B542" s="12"/>
      <c r="C542" s="13"/>
      <c r="D542" s="12"/>
      <c r="E542" s="14"/>
      <c r="F542" s="81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spans="2:18" ht="18" customHeight="1" x14ac:dyDescent="0.25">
      <c r="B543" s="12"/>
      <c r="C543" s="13"/>
      <c r="D543" s="12"/>
      <c r="E543" s="14"/>
      <c r="F543" s="81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spans="2:18" ht="18" customHeight="1" x14ac:dyDescent="0.25">
      <c r="B544" s="12"/>
      <c r="C544" s="13"/>
      <c r="D544" s="12"/>
      <c r="E544" s="14"/>
      <c r="F544" s="81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spans="2:18" ht="18" customHeight="1" x14ac:dyDescent="0.25">
      <c r="B545" s="12"/>
      <c r="C545" s="13"/>
      <c r="D545" s="12"/>
      <c r="E545" s="14"/>
      <c r="F545" s="81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2:18" ht="18" customHeight="1" x14ac:dyDescent="0.25">
      <c r="B546" s="12"/>
      <c r="C546" s="13"/>
      <c r="D546" s="12"/>
      <c r="E546" s="14"/>
      <c r="F546" s="81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2:18" ht="18" customHeight="1" x14ac:dyDescent="0.25">
      <c r="B547" s="12"/>
      <c r="C547" s="13"/>
      <c r="D547" s="12"/>
      <c r="E547" s="14"/>
      <c r="F547" s="81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2:18" ht="18" customHeight="1" x14ac:dyDescent="0.25">
      <c r="B548" s="12"/>
      <c r="C548" s="13"/>
      <c r="D548" s="12"/>
      <c r="E548" s="14"/>
      <c r="F548" s="81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spans="2:18" ht="18" customHeight="1" x14ac:dyDescent="0.25">
      <c r="B549" s="12"/>
      <c r="C549" s="13"/>
      <c r="D549" s="12"/>
      <c r="E549" s="14"/>
      <c r="F549" s="81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2:18" ht="18" customHeight="1" x14ac:dyDescent="0.25">
      <c r="B550" s="12"/>
      <c r="C550" s="13"/>
      <c r="D550" s="12"/>
      <c r="E550" s="14"/>
      <c r="F550" s="81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spans="2:18" ht="18" customHeight="1" x14ac:dyDescent="0.25">
      <c r="B551" s="12"/>
      <c r="C551" s="13"/>
      <c r="D551" s="12"/>
      <c r="E551" s="14"/>
      <c r="F551" s="81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2:18" ht="18" customHeight="1" x14ac:dyDescent="0.25">
      <c r="B552" s="12"/>
      <c r="C552" s="13"/>
      <c r="D552" s="12"/>
      <c r="E552" s="14"/>
      <c r="F552" s="81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spans="2:18" ht="18" customHeight="1" x14ac:dyDescent="0.25">
      <c r="B553" s="12"/>
      <c r="C553" s="13"/>
      <c r="D553" s="12"/>
      <c r="E553" s="14"/>
      <c r="F553" s="81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spans="2:18" ht="18" customHeight="1" x14ac:dyDescent="0.25">
      <c r="B554" s="12"/>
      <c r="C554" s="13"/>
      <c r="D554" s="12"/>
      <c r="E554" s="14"/>
      <c r="F554" s="81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spans="2:18" ht="18" customHeight="1" x14ac:dyDescent="0.25">
      <c r="B555" s="12"/>
      <c r="C555" s="13"/>
      <c r="D555" s="12"/>
      <c r="E555" s="14"/>
      <c r="F555" s="81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spans="2:18" ht="18" customHeight="1" x14ac:dyDescent="0.25">
      <c r="B556" s="12"/>
      <c r="C556" s="13"/>
      <c r="D556" s="12"/>
      <c r="E556" s="14"/>
      <c r="F556" s="81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spans="2:18" ht="18" customHeight="1" x14ac:dyDescent="0.25">
      <c r="B557" s="12"/>
      <c r="C557" s="13"/>
      <c r="D557" s="12"/>
      <c r="E557" s="14"/>
      <c r="F557" s="81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2:18" ht="18" customHeight="1" x14ac:dyDescent="0.25">
      <c r="B558" s="12"/>
      <c r="C558" s="13"/>
      <c r="D558" s="12"/>
      <c r="E558" s="14"/>
      <c r="F558" s="81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2:18" ht="18" customHeight="1" x14ac:dyDescent="0.25">
      <c r="B559" s="12"/>
      <c r="C559" s="13"/>
      <c r="D559" s="12"/>
      <c r="E559" s="14"/>
      <c r="F559" s="81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2:18" ht="18" customHeight="1" x14ac:dyDescent="0.25">
      <c r="B560" s="12"/>
      <c r="C560" s="13"/>
      <c r="D560" s="12"/>
      <c r="E560" s="14"/>
      <c r="F560" s="81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spans="2:18" ht="18" customHeight="1" x14ac:dyDescent="0.25">
      <c r="B561" s="12"/>
      <c r="C561" s="13"/>
      <c r="D561" s="12"/>
      <c r="E561" s="14"/>
      <c r="F561" s="81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spans="2:18" ht="18" customHeight="1" x14ac:dyDescent="0.25">
      <c r="B562" s="12"/>
      <c r="C562" s="13"/>
      <c r="D562" s="12"/>
      <c r="E562" s="14"/>
      <c r="F562" s="81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2:18" ht="18" customHeight="1" x14ac:dyDescent="0.25">
      <c r="B563" s="12"/>
      <c r="C563" s="13"/>
      <c r="D563" s="12"/>
      <c r="E563" s="14"/>
      <c r="F563" s="81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spans="2:18" ht="18" customHeight="1" x14ac:dyDescent="0.25">
      <c r="B564" s="12"/>
      <c r="C564" s="13"/>
      <c r="D564" s="12"/>
      <c r="E564" s="14"/>
      <c r="F564" s="81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spans="2:18" ht="18" customHeight="1" x14ac:dyDescent="0.25">
      <c r="B565" s="12"/>
      <c r="C565" s="13"/>
      <c r="D565" s="12"/>
      <c r="E565" s="14"/>
      <c r="F565" s="81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spans="2:18" ht="18" customHeight="1" x14ac:dyDescent="0.25">
      <c r="B566" s="12"/>
      <c r="C566" s="13"/>
      <c r="D566" s="12"/>
      <c r="E566" s="14"/>
      <c r="F566" s="81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spans="2:18" ht="18" customHeight="1" x14ac:dyDescent="0.25">
      <c r="B567" s="12"/>
      <c r="C567" s="13"/>
      <c r="D567" s="12"/>
      <c r="E567" s="14"/>
      <c r="F567" s="81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2:18" ht="18" customHeight="1" x14ac:dyDescent="0.25">
      <c r="B568" s="12"/>
      <c r="C568" s="13"/>
      <c r="D568" s="12"/>
      <c r="E568" s="14"/>
      <c r="F568" s="81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spans="2:18" ht="18" customHeight="1" x14ac:dyDescent="0.25">
      <c r="B569" s="12"/>
      <c r="C569" s="13"/>
      <c r="D569" s="12"/>
      <c r="E569" s="14"/>
      <c r="F569" s="81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spans="2:18" ht="18" customHeight="1" x14ac:dyDescent="0.25">
      <c r="B570" s="12"/>
      <c r="C570" s="13"/>
      <c r="D570" s="12"/>
      <c r="E570" s="14"/>
      <c r="F570" s="81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spans="2:18" ht="18" customHeight="1" x14ac:dyDescent="0.25">
      <c r="B571" s="12"/>
      <c r="C571" s="13"/>
      <c r="D571" s="12"/>
      <c r="E571" s="14"/>
      <c r="F571" s="81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spans="2:18" ht="18" customHeight="1" x14ac:dyDescent="0.25">
      <c r="B572" s="12"/>
      <c r="C572" s="13"/>
      <c r="D572" s="12"/>
      <c r="E572" s="14"/>
      <c r="F572" s="81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spans="2:18" ht="18" customHeight="1" x14ac:dyDescent="0.25">
      <c r="B573" s="12"/>
      <c r="C573" s="13"/>
      <c r="D573" s="12"/>
      <c r="E573" s="14"/>
      <c r="F573" s="81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spans="2:18" ht="18" customHeight="1" x14ac:dyDescent="0.25">
      <c r="B574" s="12"/>
      <c r="C574" s="13"/>
      <c r="D574" s="12"/>
      <c r="E574" s="14"/>
      <c r="F574" s="81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spans="2:18" ht="18" customHeight="1" x14ac:dyDescent="0.25">
      <c r="B575" s="12"/>
      <c r="C575" s="13"/>
      <c r="D575" s="12"/>
      <c r="E575" s="14"/>
      <c r="F575" s="81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spans="2:18" ht="18" customHeight="1" x14ac:dyDescent="0.25">
      <c r="B576" s="12"/>
      <c r="C576" s="13"/>
      <c r="D576" s="12"/>
      <c r="E576" s="14"/>
      <c r="F576" s="81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spans="2:18" ht="18" customHeight="1" x14ac:dyDescent="0.25">
      <c r="B577" s="12"/>
      <c r="C577" s="13"/>
      <c r="D577" s="12"/>
      <c r="E577" s="14"/>
      <c r="F577" s="81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spans="2:18" ht="18" customHeight="1" x14ac:dyDescent="0.25">
      <c r="B578" s="12"/>
      <c r="C578" s="13"/>
      <c r="D578" s="12"/>
      <c r="E578" s="14"/>
      <c r="F578" s="81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spans="2:18" ht="18" customHeight="1" x14ac:dyDescent="0.25">
      <c r="B579" s="12"/>
      <c r="C579" s="13"/>
      <c r="D579" s="12"/>
      <c r="E579" s="14"/>
      <c r="F579" s="81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spans="2:18" ht="18" customHeight="1" x14ac:dyDescent="0.25">
      <c r="B580" s="12"/>
      <c r="C580" s="13"/>
      <c r="D580" s="12"/>
      <c r="E580" s="14"/>
      <c r="F580" s="81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spans="2:18" ht="18" customHeight="1" x14ac:dyDescent="0.25">
      <c r="B581" s="12"/>
      <c r="C581" s="13"/>
      <c r="D581" s="12"/>
      <c r="E581" s="14"/>
      <c r="F581" s="81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spans="2:18" ht="18" customHeight="1" x14ac:dyDescent="0.25">
      <c r="B582" s="12"/>
      <c r="C582" s="13"/>
      <c r="D582" s="12"/>
      <c r="E582" s="14"/>
      <c r="F582" s="81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spans="2:18" ht="18" customHeight="1" x14ac:dyDescent="0.25">
      <c r="B583" s="12"/>
      <c r="C583" s="13"/>
      <c r="D583" s="12"/>
      <c r="E583" s="14"/>
      <c r="F583" s="81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spans="2:18" ht="18" customHeight="1" x14ac:dyDescent="0.25">
      <c r="B584" s="12"/>
      <c r="C584" s="13"/>
      <c r="D584" s="12"/>
      <c r="E584" s="14"/>
      <c r="F584" s="81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spans="2:18" ht="18" customHeight="1" x14ac:dyDescent="0.25">
      <c r="B585" s="12"/>
      <c r="C585" s="13"/>
      <c r="D585" s="12"/>
      <c r="E585" s="14"/>
      <c r="F585" s="81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spans="2:18" ht="18" customHeight="1" x14ac:dyDescent="0.25">
      <c r="B586" s="12"/>
      <c r="C586" s="13"/>
      <c r="D586" s="12"/>
      <c r="E586" s="14"/>
      <c r="F586" s="81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spans="2:18" ht="18" customHeight="1" x14ac:dyDescent="0.25">
      <c r="B587" s="12"/>
      <c r="C587" s="13"/>
      <c r="D587" s="12"/>
      <c r="E587" s="14"/>
      <c r="F587" s="81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spans="2:18" ht="18" customHeight="1" x14ac:dyDescent="0.25">
      <c r="B588" s="12"/>
      <c r="C588" s="13"/>
      <c r="D588" s="12"/>
      <c r="E588" s="14"/>
      <c r="F588" s="8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spans="2:18" ht="18" customHeight="1" x14ac:dyDescent="0.25">
      <c r="B589" s="12"/>
      <c r="C589" s="13"/>
      <c r="D589" s="12"/>
      <c r="E589" s="14"/>
      <c r="F589" s="81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spans="2:18" ht="18" customHeight="1" x14ac:dyDescent="0.25">
      <c r="B590" s="12"/>
      <c r="C590" s="13"/>
      <c r="D590" s="12"/>
      <c r="E590" s="14"/>
      <c r="F590" s="81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spans="2:18" ht="18" customHeight="1" x14ac:dyDescent="0.25">
      <c r="B591" s="12"/>
      <c r="C591" s="13"/>
      <c r="D591" s="12"/>
      <c r="E591" s="14"/>
      <c r="F591" s="81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spans="2:18" ht="18" customHeight="1" x14ac:dyDescent="0.25">
      <c r="B592" s="12"/>
      <c r="C592" s="13"/>
      <c r="D592" s="12"/>
      <c r="E592" s="14"/>
      <c r="F592" s="81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spans="2:18" ht="18" customHeight="1" x14ac:dyDescent="0.25">
      <c r="B593" s="12"/>
      <c r="C593" s="13"/>
      <c r="D593" s="12"/>
      <c r="E593" s="14"/>
      <c r="F593" s="81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spans="2:18" ht="18" customHeight="1" x14ac:dyDescent="0.25">
      <c r="B594" s="12"/>
      <c r="C594" s="13"/>
      <c r="D594" s="12"/>
      <c r="E594" s="14"/>
      <c r="F594" s="81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spans="2:18" ht="18" customHeight="1" x14ac:dyDescent="0.25">
      <c r="B595" s="12"/>
      <c r="C595" s="13"/>
      <c r="D595" s="12"/>
      <c r="E595" s="14"/>
      <c r="F595" s="8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spans="2:18" ht="18" customHeight="1" x14ac:dyDescent="0.25">
      <c r="B596" s="12"/>
      <c r="C596" s="13"/>
      <c r="D596" s="12"/>
      <c r="E596" s="14"/>
      <c r="F596" s="81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spans="2:18" ht="18" customHeight="1" x14ac:dyDescent="0.25">
      <c r="B597" s="12"/>
      <c r="C597" s="13"/>
      <c r="D597" s="12"/>
      <c r="E597" s="14"/>
      <c r="F597" s="81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spans="2:18" ht="18" customHeight="1" x14ac:dyDescent="0.25">
      <c r="B598" s="12"/>
      <c r="C598" s="13"/>
      <c r="D598" s="12"/>
      <c r="E598" s="14"/>
      <c r="F598" s="81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spans="2:18" ht="18" customHeight="1" x14ac:dyDescent="0.25">
      <c r="B599" s="12"/>
      <c r="C599" s="13"/>
      <c r="D599" s="12"/>
      <c r="E599" s="14"/>
      <c r="F599" s="8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spans="2:18" ht="18" customHeight="1" x14ac:dyDescent="0.25">
      <c r="B600" s="12"/>
      <c r="C600" s="13"/>
      <c r="D600" s="12"/>
      <c r="E600" s="14"/>
      <c r="F600" s="8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spans="2:18" ht="18" customHeight="1" x14ac:dyDescent="0.25">
      <c r="B601" s="12"/>
      <c r="C601" s="13"/>
      <c r="D601" s="12"/>
      <c r="E601" s="14"/>
      <c r="F601" s="81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spans="2:18" ht="18" customHeight="1" x14ac:dyDescent="0.25">
      <c r="B602" s="12"/>
      <c r="C602" s="13"/>
      <c r="D602" s="12"/>
      <c r="E602" s="14"/>
      <c r="F602" s="8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spans="2:18" ht="18" customHeight="1" x14ac:dyDescent="0.25">
      <c r="B603" s="12"/>
      <c r="C603" s="13"/>
      <c r="D603" s="12"/>
      <c r="E603" s="14"/>
      <c r="F603" s="81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spans="2:18" ht="18" customHeight="1" x14ac:dyDescent="0.25">
      <c r="B604" s="12"/>
      <c r="C604" s="13"/>
      <c r="D604" s="12"/>
      <c r="E604" s="14"/>
      <c r="F604" s="81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spans="2:18" ht="18" customHeight="1" x14ac:dyDescent="0.25">
      <c r="B605" s="12"/>
      <c r="C605" s="13"/>
      <c r="D605" s="12"/>
      <c r="E605" s="14"/>
      <c r="F605" s="81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spans="2:18" ht="18" customHeight="1" x14ac:dyDescent="0.25">
      <c r="B606" s="12"/>
      <c r="C606" s="13"/>
      <c r="D606" s="12"/>
      <c r="E606" s="14"/>
      <c r="F606" s="81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spans="2:18" ht="18" customHeight="1" x14ac:dyDescent="0.25">
      <c r="B607" s="12"/>
      <c r="C607" s="13"/>
      <c r="D607" s="12"/>
      <c r="E607" s="14"/>
      <c r="F607" s="81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spans="2:18" ht="18" customHeight="1" x14ac:dyDescent="0.25">
      <c r="B608" s="12"/>
      <c r="C608" s="13"/>
      <c r="D608" s="12"/>
      <c r="E608" s="14"/>
      <c r="F608" s="81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spans="2:18" ht="18" customHeight="1" x14ac:dyDescent="0.25">
      <c r="B609" s="12"/>
      <c r="C609" s="13"/>
      <c r="D609" s="12"/>
      <c r="E609" s="14"/>
      <c r="F609" s="81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spans="2:18" ht="18" customHeight="1" x14ac:dyDescent="0.25">
      <c r="B610" s="12"/>
      <c r="C610" s="13"/>
      <c r="D610" s="12"/>
      <c r="E610" s="14"/>
      <c r="F610" s="81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spans="2:18" ht="18" customHeight="1" x14ac:dyDescent="0.25">
      <c r="B611" s="12"/>
      <c r="C611" s="13"/>
      <c r="D611" s="12"/>
      <c r="E611" s="14"/>
      <c r="F611" s="81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spans="2:18" ht="18" customHeight="1" x14ac:dyDescent="0.25">
      <c r="B612" s="12"/>
      <c r="C612" s="13"/>
      <c r="D612" s="12"/>
      <c r="E612" s="14"/>
      <c r="F612" s="81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spans="2:18" ht="18" customHeight="1" x14ac:dyDescent="0.25">
      <c r="B613" s="12"/>
      <c r="C613" s="13"/>
      <c r="D613" s="12"/>
      <c r="E613" s="14"/>
      <c r="F613" s="81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spans="2:18" ht="18" customHeight="1" x14ac:dyDescent="0.25">
      <c r="B614" s="12"/>
      <c r="C614" s="13"/>
      <c r="D614" s="12"/>
      <c r="E614" s="14"/>
      <c r="F614" s="81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spans="2:18" ht="18" customHeight="1" x14ac:dyDescent="0.25">
      <c r="B615" s="12"/>
      <c r="C615" s="13"/>
      <c r="D615" s="12"/>
      <c r="E615" s="14"/>
      <c r="F615" s="81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spans="2:18" ht="18" customHeight="1" x14ac:dyDescent="0.25">
      <c r="B616" s="12"/>
      <c r="C616" s="13"/>
      <c r="D616" s="12"/>
      <c r="E616" s="14"/>
      <c r="F616" s="81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spans="2:18" ht="18" customHeight="1" x14ac:dyDescent="0.25">
      <c r="B617" s="12"/>
      <c r="C617" s="13"/>
      <c r="D617" s="12"/>
      <c r="E617" s="14"/>
      <c r="F617" s="81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spans="2:18" ht="18" customHeight="1" x14ac:dyDescent="0.25">
      <c r="B618" s="12"/>
      <c r="C618" s="13"/>
      <c r="D618" s="12"/>
      <c r="E618" s="14"/>
      <c r="F618" s="81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spans="2:18" ht="18" customHeight="1" x14ac:dyDescent="0.25">
      <c r="B619" s="12"/>
      <c r="C619" s="13"/>
      <c r="D619" s="12"/>
      <c r="E619" s="14"/>
      <c r="F619" s="8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spans="2:18" ht="18" customHeight="1" x14ac:dyDescent="0.25">
      <c r="B620" s="12"/>
      <c r="C620" s="13"/>
      <c r="D620" s="12"/>
      <c r="E620" s="14"/>
      <c r="F620" s="81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spans="2:18" ht="18" customHeight="1" x14ac:dyDescent="0.25">
      <c r="B621" s="12"/>
      <c r="C621" s="13"/>
      <c r="D621" s="12"/>
      <c r="E621" s="14"/>
      <c r="F621" s="81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spans="2:18" ht="18" customHeight="1" x14ac:dyDescent="0.25">
      <c r="B622" s="12"/>
      <c r="C622" s="13"/>
      <c r="D622" s="12"/>
      <c r="E622" s="14"/>
      <c r="F622" s="81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spans="2:18" ht="18" customHeight="1" x14ac:dyDescent="0.25">
      <c r="B623" s="12"/>
      <c r="C623" s="13"/>
      <c r="D623" s="12"/>
      <c r="E623" s="14"/>
      <c r="F623" s="81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spans="2:18" ht="18" customHeight="1" x14ac:dyDescent="0.25">
      <c r="B624" s="12"/>
      <c r="C624" s="13"/>
      <c r="D624" s="12"/>
      <c r="E624" s="14"/>
      <c r="F624" s="81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spans="2:18" ht="18" customHeight="1" x14ac:dyDescent="0.25">
      <c r="B625" s="12"/>
      <c r="C625" s="13"/>
      <c r="D625" s="12"/>
      <c r="E625" s="14"/>
      <c r="F625" s="8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spans="2:18" ht="18" customHeight="1" x14ac:dyDescent="0.25">
      <c r="B626" s="12"/>
      <c r="C626" s="13"/>
      <c r="D626" s="12"/>
      <c r="E626" s="14"/>
      <c r="F626" s="8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spans="2:18" ht="18" customHeight="1" x14ac:dyDescent="0.25">
      <c r="B627" s="12"/>
      <c r="C627" s="13"/>
      <c r="D627" s="12"/>
      <c r="E627" s="14"/>
      <c r="F627" s="81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spans="2:18" ht="18" customHeight="1" x14ac:dyDescent="0.25">
      <c r="B628" s="12"/>
      <c r="C628" s="13"/>
      <c r="D628" s="12"/>
      <c r="E628" s="14"/>
      <c r="F628" s="81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spans="2:18" ht="18" customHeight="1" x14ac:dyDescent="0.25">
      <c r="B629" s="12"/>
      <c r="C629" s="13"/>
      <c r="D629" s="12"/>
      <c r="E629" s="14"/>
      <c r="F629" s="8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spans="2:18" ht="18" customHeight="1" x14ac:dyDescent="0.25">
      <c r="B630" s="12"/>
      <c r="C630" s="13"/>
      <c r="D630" s="12"/>
      <c r="E630" s="14"/>
      <c r="F630" s="8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spans="2:18" ht="18" customHeight="1" x14ac:dyDescent="0.25">
      <c r="B631" s="12"/>
      <c r="C631" s="13"/>
      <c r="D631" s="12"/>
      <c r="E631" s="14"/>
      <c r="F631" s="8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spans="2:18" ht="18" customHeight="1" x14ac:dyDescent="0.25">
      <c r="B632" s="12"/>
      <c r="C632" s="13"/>
      <c r="D632" s="12"/>
      <c r="E632" s="14"/>
      <c r="F632" s="81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spans="2:18" ht="18" customHeight="1" x14ac:dyDescent="0.25">
      <c r="B633" s="12"/>
      <c r="C633" s="13"/>
      <c r="D633" s="12"/>
      <c r="E633" s="14"/>
      <c r="F633" s="81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spans="2:18" ht="18" customHeight="1" x14ac:dyDescent="0.25">
      <c r="B634" s="12"/>
      <c r="C634" s="13"/>
      <c r="D634" s="12"/>
      <c r="E634" s="14"/>
      <c r="F634" s="8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spans="2:18" ht="18" customHeight="1" x14ac:dyDescent="0.25">
      <c r="B635" s="12"/>
      <c r="C635" s="13"/>
      <c r="D635" s="12"/>
      <c r="E635" s="14"/>
      <c r="F635" s="81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spans="2:18" ht="18" customHeight="1" x14ac:dyDescent="0.25">
      <c r="B636" s="12"/>
      <c r="C636" s="13"/>
      <c r="D636" s="12"/>
      <c r="E636" s="14"/>
      <c r="F636" s="81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spans="2:18" ht="18" customHeight="1" x14ac:dyDescent="0.25">
      <c r="B637" s="12"/>
      <c r="C637" s="13"/>
      <c r="D637" s="12"/>
      <c r="E637" s="14"/>
      <c r="F637" s="81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spans="2:18" ht="18" customHeight="1" x14ac:dyDescent="0.25">
      <c r="B638" s="12"/>
      <c r="C638" s="13"/>
      <c r="D638" s="12"/>
      <c r="E638" s="14"/>
      <c r="F638" s="81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spans="2:18" ht="18" customHeight="1" x14ac:dyDescent="0.25">
      <c r="B639" s="12"/>
      <c r="C639" s="13"/>
      <c r="D639" s="12"/>
      <c r="E639" s="14"/>
      <c r="F639" s="81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spans="2:18" ht="18" customHeight="1" x14ac:dyDescent="0.25">
      <c r="B640" s="12"/>
      <c r="C640" s="13"/>
      <c r="D640" s="12"/>
      <c r="E640" s="14"/>
      <c r="F640" s="81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spans="2:18" ht="18" customHeight="1" x14ac:dyDescent="0.25">
      <c r="B641" s="12"/>
      <c r="C641" s="13"/>
      <c r="D641" s="12"/>
      <c r="E641" s="14"/>
      <c r="F641" s="81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spans="2:18" ht="18" customHeight="1" x14ac:dyDescent="0.25">
      <c r="B642" s="12"/>
      <c r="C642" s="13"/>
      <c r="D642" s="12"/>
      <c r="E642" s="14"/>
      <c r="F642" s="81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spans="2:18" ht="18" customHeight="1" x14ac:dyDescent="0.25">
      <c r="B643" s="12"/>
      <c r="C643" s="13"/>
      <c r="D643" s="12"/>
      <c r="E643" s="14"/>
      <c r="F643" s="81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spans="2:18" ht="18" customHeight="1" x14ac:dyDescent="0.25">
      <c r="B644" s="12"/>
      <c r="C644" s="13"/>
      <c r="D644" s="12"/>
      <c r="E644" s="14"/>
      <c r="F644" s="81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spans="2:18" ht="18" customHeight="1" x14ac:dyDescent="0.25">
      <c r="B645" s="12"/>
      <c r="C645" s="13"/>
      <c r="D645" s="12"/>
      <c r="E645" s="14"/>
      <c r="F645" s="81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spans="2:18" ht="18" customHeight="1" x14ac:dyDescent="0.25">
      <c r="B646" s="12"/>
      <c r="C646" s="13"/>
      <c r="D646" s="12"/>
      <c r="E646" s="14"/>
      <c r="F646" s="81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spans="2:18" ht="18" customHeight="1" x14ac:dyDescent="0.25">
      <c r="B647" s="12"/>
      <c r="C647" s="13"/>
      <c r="D647" s="12"/>
      <c r="E647" s="14"/>
      <c r="F647" s="81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spans="2:18" ht="18" customHeight="1" x14ac:dyDescent="0.25">
      <c r="B648" s="12"/>
      <c r="C648" s="13"/>
      <c r="D648" s="12"/>
      <c r="E648" s="14"/>
      <c r="F648" s="81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spans="2:18" ht="18" customHeight="1" x14ac:dyDescent="0.25">
      <c r="B649" s="12"/>
      <c r="C649" s="13"/>
      <c r="D649" s="12"/>
      <c r="E649" s="14"/>
      <c r="F649" s="81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spans="2:18" ht="18" customHeight="1" x14ac:dyDescent="0.25">
      <c r="B650" s="12"/>
      <c r="C650" s="13"/>
      <c r="D650" s="12"/>
      <c r="E650" s="14"/>
      <c r="F650" s="81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spans="2:18" ht="18" customHeight="1" x14ac:dyDescent="0.25">
      <c r="B651" s="12"/>
      <c r="C651" s="13"/>
      <c r="D651" s="12"/>
      <c r="E651" s="14"/>
      <c r="F651" s="81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spans="2:18" ht="18" customHeight="1" x14ac:dyDescent="0.25">
      <c r="B652" s="12"/>
      <c r="C652" s="13"/>
      <c r="D652" s="12"/>
      <c r="E652" s="14"/>
      <c r="F652" s="81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spans="2:18" ht="18" customHeight="1" x14ac:dyDescent="0.25">
      <c r="B653" s="12"/>
      <c r="C653" s="13"/>
      <c r="D653" s="12"/>
      <c r="E653" s="14"/>
      <c r="F653" s="81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spans="2:18" ht="18" customHeight="1" x14ac:dyDescent="0.25">
      <c r="B654" s="12"/>
      <c r="C654" s="13"/>
      <c r="D654" s="12"/>
      <c r="E654" s="14"/>
      <c r="F654" s="81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spans="2:18" ht="18" customHeight="1" x14ac:dyDescent="0.25">
      <c r="B655" s="12"/>
      <c r="C655" s="13"/>
      <c r="D655" s="12"/>
      <c r="E655" s="14"/>
      <c r="F655" s="81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spans="2:18" ht="18" customHeight="1" x14ac:dyDescent="0.25">
      <c r="B656" s="12"/>
      <c r="C656" s="13"/>
      <c r="D656" s="12"/>
      <c r="E656" s="14"/>
      <c r="F656" s="81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spans="2:18" ht="18" customHeight="1" x14ac:dyDescent="0.25">
      <c r="B657" s="12"/>
      <c r="C657" s="13"/>
      <c r="D657" s="12"/>
      <c r="E657" s="14"/>
      <c r="F657" s="81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spans="2:18" ht="18" customHeight="1" x14ac:dyDescent="0.25">
      <c r="B658" s="12"/>
      <c r="C658" s="13"/>
      <c r="D658" s="12"/>
      <c r="E658" s="14"/>
      <c r="F658" s="81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spans="2:18" ht="18" customHeight="1" x14ac:dyDescent="0.25">
      <c r="B659" s="12"/>
      <c r="C659" s="13"/>
      <c r="D659" s="12"/>
      <c r="E659" s="14"/>
      <c r="F659" s="81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spans="2:18" ht="18" customHeight="1" x14ac:dyDescent="0.25">
      <c r="B660" s="12"/>
      <c r="C660" s="13"/>
      <c r="D660" s="12"/>
      <c r="E660" s="14"/>
      <c r="F660" s="81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 spans="2:18" ht="18" customHeight="1" x14ac:dyDescent="0.25">
      <c r="B661" s="12"/>
      <c r="C661" s="13"/>
      <c r="D661" s="12"/>
      <c r="E661" s="14"/>
      <c r="F661" s="81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 spans="2:18" ht="18" customHeight="1" x14ac:dyDescent="0.25">
      <c r="B662" s="12"/>
      <c r="C662" s="13"/>
      <c r="D662" s="12"/>
      <c r="E662" s="14"/>
      <c r="F662" s="81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spans="2:18" ht="18" customHeight="1" x14ac:dyDescent="0.25">
      <c r="B663" s="12"/>
      <c r="C663" s="13"/>
      <c r="D663" s="12"/>
      <c r="E663" s="14"/>
      <c r="F663" s="81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 spans="2:18" ht="18" customHeight="1" x14ac:dyDescent="0.25">
      <c r="B664" s="12"/>
      <c r="C664" s="13"/>
      <c r="D664" s="12"/>
      <c r="E664" s="14"/>
      <c r="F664" s="81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 spans="2:18" ht="18" customHeight="1" x14ac:dyDescent="0.25">
      <c r="B665" s="12"/>
      <c r="C665" s="13"/>
      <c r="D665" s="12"/>
      <c r="E665" s="14"/>
      <c r="F665" s="81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 spans="2:18" ht="18" customHeight="1" x14ac:dyDescent="0.25">
      <c r="B666" s="12"/>
      <c r="C666" s="13"/>
      <c r="D666" s="12"/>
      <c r="E666" s="14"/>
      <c r="F666" s="81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 spans="2:18" ht="18" customHeight="1" x14ac:dyDescent="0.25">
      <c r="B667" s="12"/>
      <c r="C667" s="13"/>
      <c r="D667" s="12"/>
      <c r="E667" s="14"/>
      <c r="F667" s="81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 spans="2:18" ht="18" customHeight="1" x14ac:dyDescent="0.25">
      <c r="B668" s="12"/>
      <c r="C668" s="13"/>
      <c r="D668" s="12"/>
      <c r="E668" s="14"/>
      <c r="F668" s="81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spans="2:18" ht="18" customHeight="1" x14ac:dyDescent="0.25">
      <c r="B669" s="12"/>
      <c r="C669" s="13"/>
      <c r="D669" s="12"/>
      <c r="E669" s="14"/>
      <c r="F669" s="81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spans="2:18" ht="18" customHeight="1" x14ac:dyDescent="0.25">
      <c r="B670" s="12"/>
      <c r="C670" s="13"/>
      <c r="D670" s="12"/>
      <c r="E670" s="14"/>
      <c r="F670" s="81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 spans="2:18" ht="18" customHeight="1" x14ac:dyDescent="0.25">
      <c r="B671" s="12"/>
      <c r="C671" s="13"/>
      <c r="D671" s="12"/>
      <c r="E671" s="14"/>
      <c r="F671" s="81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 spans="2:18" ht="18" customHeight="1" x14ac:dyDescent="0.25">
      <c r="B672" s="12"/>
      <c r="C672" s="13"/>
      <c r="D672" s="12"/>
      <c r="E672" s="14"/>
      <c r="F672" s="81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spans="2:18" ht="18" customHeight="1" x14ac:dyDescent="0.25">
      <c r="B673" s="12"/>
      <c r="C673" s="13"/>
      <c r="D673" s="12"/>
      <c r="E673" s="14"/>
      <c r="F673" s="81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 spans="2:18" ht="18" customHeight="1" x14ac:dyDescent="0.25">
      <c r="B674" s="12"/>
      <c r="C674" s="13"/>
      <c r="D674" s="12"/>
      <c r="E674" s="14"/>
      <c r="F674" s="81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 spans="2:18" ht="18" customHeight="1" x14ac:dyDescent="0.25">
      <c r="B675" s="12"/>
      <c r="C675" s="13"/>
      <c r="D675" s="12"/>
      <c r="E675" s="14"/>
      <c r="F675" s="81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spans="2:18" ht="18" customHeight="1" x14ac:dyDescent="0.25">
      <c r="B676" s="12"/>
      <c r="C676" s="13"/>
      <c r="D676" s="12"/>
      <c r="E676" s="14"/>
      <c r="F676" s="81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 spans="2:18" ht="18" customHeight="1" x14ac:dyDescent="0.25">
      <c r="B677" s="12"/>
      <c r="C677" s="13"/>
      <c r="D677" s="12"/>
      <c r="E677" s="14"/>
      <c r="F677" s="81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 spans="2:18" ht="18" customHeight="1" x14ac:dyDescent="0.25">
      <c r="B678" s="12"/>
      <c r="C678" s="13"/>
      <c r="D678" s="12"/>
      <c r="E678" s="14"/>
      <c r="F678" s="81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 spans="2:18" ht="18" customHeight="1" x14ac:dyDescent="0.25">
      <c r="B679" s="12"/>
      <c r="C679" s="13"/>
      <c r="D679" s="12"/>
      <c r="E679" s="14"/>
      <c r="F679" s="81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spans="2:18" ht="18" customHeight="1" x14ac:dyDescent="0.25">
      <c r="B680" s="12"/>
      <c r="C680" s="13"/>
      <c r="D680" s="12"/>
      <c r="E680" s="14"/>
      <c r="F680" s="81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 spans="2:18" ht="18" customHeight="1" x14ac:dyDescent="0.25">
      <c r="B681" s="12"/>
      <c r="C681" s="13"/>
      <c r="D681" s="12"/>
      <c r="E681" s="14"/>
      <c r="F681" s="81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 spans="2:18" ht="18" customHeight="1" x14ac:dyDescent="0.25">
      <c r="B682" s="12"/>
      <c r="C682" s="13"/>
      <c r="D682" s="12"/>
      <c r="E682" s="14"/>
      <c r="F682" s="81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spans="2:18" ht="18" customHeight="1" x14ac:dyDescent="0.25">
      <c r="B683" s="12"/>
      <c r="C683" s="13"/>
      <c r="D683" s="12"/>
      <c r="E683" s="14"/>
      <c r="F683" s="81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 spans="2:18" ht="18" customHeight="1" x14ac:dyDescent="0.25">
      <c r="B684" s="12"/>
      <c r="C684" s="13"/>
      <c r="D684" s="12"/>
      <c r="E684" s="14"/>
      <c r="F684" s="81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 spans="2:18" ht="18" customHeight="1" x14ac:dyDescent="0.25">
      <c r="B685" s="12"/>
      <c r="C685" s="13"/>
      <c r="D685" s="12"/>
      <c r="E685" s="14"/>
      <c r="F685" s="81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 spans="2:18" ht="18" customHeight="1" x14ac:dyDescent="0.25">
      <c r="B686" s="12"/>
      <c r="C686" s="13"/>
      <c r="D686" s="12"/>
      <c r="E686" s="14"/>
      <c r="F686" s="81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 spans="2:18" ht="18" customHeight="1" x14ac:dyDescent="0.25">
      <c r="B687" s="12"/>
      <c r="C687" s="13"/>
      <c r="D687" s="12"/>
      <c r="E687" s="14"/>
      <c r="F687" s="81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 spans="2:18" ht="18" customHeight="1" x14ac:dyDescent="0.25">
      <c r="B688" s="12"/>
      <c r="C688" s="13"/>
      <c r="D688" s="12"/>
      <c r="E688" s="14"/>
      <c r="F688" s="81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 spans="2:18" ht="18" customHeight="1" x14ac:dyDescent="0.25">
      <c r="B689" s="12"/>
      <c r="C689" s="13"/>
      <c r="D689" s="12"/>
      <c r="E689" s="14"/>
      <c r="F689" s="81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spans="2:18" ht="18" customHeight="1" x14ac:dyDescent="0.25">
      <c r="B690" s="12"/>
      <c r="C690" s="13"/>
      <c r="D690" s="12"/>
      <c r="E690" s="14"/>
      <c r="F690" s="81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 spans="2:18" ht="18" customHeight="1" x14ac:dyDescent="0.25">
      <c r="B691" s="12"/>
      <c r="C691" s="13"/>
      <c r="D691" s="12"/>
      <c r="E691" s="14"/>
      <c r="F691" s="81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 spans="2:18" ht="18" customHeight="1" x14ac:dyDescent="0.25">
      <c r="B692" s="12"/>
      <c r="C692" s="13"/>
      <c r="D692" s="12"/>
      <c r="E692" s="14"/>
      <c r="F692" s="81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spans="2:18" ht="18" customHeight="1" x14ac:dyDescent="0.25">
      <c r="B693" s="12"/>
      <c r="C693" s="13"/>
      <c r="D693" s="12"/>
      <c r="E693" s="14"/>
      <c r="F693" s="81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 spans="2:18" ht="18" customHeight="1" x14ac:dyDescent="0.25">
      <c r="B694" s="12"/>
      <c r="C694" s="13"/>
      <c r="D694" s="12"/>
      <c r="E694" s="14"/>
      <c r="F694" s="81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 spans="2:18" ht="18" customHeight="1" x14ac:dyDescent="0.25">
      <c r="B695" s="12"/>
      <c r="C695" s="13"/>
      <c r="D695" s="12"/>
      <c r="E695" s="14"/>
      <c r="F695" s="81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 spans="2:18" ht="18" customHeight="1" x14ac:dyDescent="0.25">
      <c r="B696" s="12"/>
      <c r="C696" s="13"/>
      <c r="D696" s="12"/>
      <c r="E696" s="14"/>
      <c r="F696" s="81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 spans="2:18" ht="18" customHeight="1" x14ac:dyDescent="0.25">
      <c r="B697" s="12"/>
      <c r="C697" s="13"/>
      <c r="D697" s="12"/>
      <c r="E697" s="14"/>
      <c r="F697" s="81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 spans="2:18" ht="18" customHeight="1" x14ac:dyDescent="0.25">
      <c r="B698" s="12"/>
      <c r="C698" s="13"/>
      <c r="D698" s="12"/>
      <c r="E698" s="14"/>
      <c r="F698" s="81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 spans="2:18" ht="18" customHeight="1" x14ac:dyDescent="0.25">
      <c r="B699" s="12"/>
      <c r="C699" s="13"/>
      <c r="D699" s="12"/>
      <c r="E699" s="14"/>
      <c r="F699" s="81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spans="2:18" ht="18" customHeight="1" x14ac:dyDescent="0.25">
      <c r="B700" s="12"/>
      <c r="C700" s="13"/>
      <c r="D700" s="12"/>
      <c r="E700" s="14"/>
      <c r="F700" s="81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 spans="2:18" ht="18" customHeight="1" x14ac:dyDescent="0.25">
      <c r="B701" s="12"/>
      <c r="C701" s="13"/>
      <c r="D701" s="12"/>
      <c r="E701" s="14"/>
      <c r="F701" s="81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 spans="2:18" ht="18" customHeight="1" x14ac:dyDescent="0.25">
      <c r="B702" s="12"/>
      <c r="C702" s="13"/>
      <c r="D702" s="12"/>
      <c r="E702" s="14"/>
      <c r="F702" s="81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2:18" ht="18" customHeight="1" x14ac:dyDescent="0.25">
      <c r="B703" s="12"/>
      <c r="C703" s="13"/>
      <c r="D703" s="12"/>
      <c r="E703" s="14"/>
      <c r="F703" s="81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 spans="2:18" ht="18" customHeight="1" x14ac:dyDescent="0.25">
      <c r="B704" s="12"/>
      <c r="C704" s="13"/>
      <c r="D704" s="12"/>
      <c r="E704" s="14"/>
      <c r="F704" s="81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 spans="2:18" ht="18" customHeight="1" x14ac:dyDescent="0.25">
      <c r="B705" s="12"/>
      <c r="C705" s="13"/>
      <c r="D705" s="12"/>
      <c r="E705" s="14"/>
      <c r="F705" s="81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 spans="2:18" ht="18" customHeight="1" x14ac:dyDescent="0.25">
      <c r="B706" s="12"/>
      <c r="C706" s="13"/>
      <c r="D706" s="12"/>
      <c r="E706" s="14"/>
      <c r="F706" s="81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 spans="2:18" ht="18" customHeight="1" x14ac:dyDescent="0.25">
      <c r="B707" s="12"/>
      <c r="C707" s="13"/>
      <c r="D707" s="12"/>
      <c r="E707" s="14"/>
      <c r="F707" s="81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 spans="2:18" ht="18" customHeight="1" x14ac:dyDescent="0.25">
      <c r="B708" s="12"/>
      <c r="C708" s="13"/>
      <c r="D708" s="12"/>
      <c r="E708" s="14"/>
      <c r="F708" s="81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 spans="2:18" ht="18" customHeight="1" x14ac:dyDescent="0.25">
      <c r="B709" s="12"/>
      <c r="C709" s="13"/>
      <c r="D709" s="12"/>
      <c r="E709" s="14"/>
      <c r="F709" s="81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spans="2:18" ht="18" customHeight="1" x14ac:dyDescent="0.25">
      <c r="B710" s="12"/>
      <c r="C710" s="13"/>
      <c r="D710" s="12"/>
      <c r="E710" s="14"/>
      <c r="F710" s="81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spans="2:18" ht="18" customHeight="1" x14ac:dyDescent="0.25">
      <c r="B711" s="12"/>
      <c r="C711" s="13"/>
      <c r="D711" s="12"/>
      <c r="E711" s="14"/>
      <c r="F711" s="81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 spans="2:18" ht="18" customHeight="1" x14ac:dyDescent="0.25">
      <c r="B712" s="12"/>
      <c r="C712" s="13"/>
      <c r="D712" s="12"/>
      <c r="E712" s="14"/>
      <c r="F712" s="81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spans="2:18" ht="18" customHeight="1" x14ac:dyDescent="0.25">
      <c r="B713" s="12"/>
      <c r="C713" s="13"/>
      <c r="D713" s="12"/>
      <c r="E713" s="14"/>
      <c r="F713" s="81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 spans="2:18" ht="18" customHeight="1" x14ac:dyDescent="0.25">
      <c r="B714" s="12"/>
      <c r="C714" s="13"/>
      <c r="D714" s="12"/>
      <c r="E714" s="14"/>
      <c r="F714" s="81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 spans="2:18" ht="18" customHeight="1" x14ac:dyDescent="0.25">
      <c r="B715" s="12"/>
      <c r="C715" s="13"/>
      <c r="D715" s="12"/>
      <c r="E715" s="14"/>
      <c r="F715" s="81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 spans="2:18" ht="18" customHeight="1" x14ac:dyDescent="0.25">
      <c r="B716" s="12"/>
      <c r="C716" s="13"/>
      <c r="D716" s="12"/>
      <c r="E716" s="14"/>
      <c r="F716" s="81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 spans="2:18" ht="18" customHeight="1" x14ac:dyDescent="0.25">
      <c r="B717" s="12"/>
      <c r="C717" s="13"/>
      <c r="D717" s="12"/>
      <c r="E717" s="14"/>
      <c r="F717" s="81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 spans="2:18" ht="18" customHeight="1" x14ac:dyDescent="0.25">
      <c r="B718" s="12"/>
      <c r="C718" s="13"/>
      <c r="D718" s="12"/>
      <c r="E718" s="14"/>
      <c r="F718" s="81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 spans="2:18" ht="18" customHeight="1" x14ac:dyDescent="0.25">
      <c r="B719" s="12"/>
      <c r="C719" s="13"/>
      <c r="D719" s="12"/>
      <c r="E719" s="14"/>
      <c r="F719" s="81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 spans="2:18" ht="18" customHeight="1" x14ac:dyDescent="0.25">
      <c r="B720" s="12"/>
      <c r="C720" s="13"/>
      <c r="D720" s="12"/>
      <c r="E720" s="14"/>
      <c r="F720" s="81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 spans="2:18" ht="18" customHeight="1" x14ac:dyDescent="0.25">
      <c r="B721" s="12"/>
      <c r="C721" s="13"/>
      <c r="D721" s="12"/>
      <c r="E721" s="14"/>
      <c r="F721" s="81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 spans="2:18" ht="18" customHeight="1" x14ac:dyDescent="0.25">
      <c r="B722" s="12"/>
      <c r="C722" s="13"/>
      <c r="D722" s="12"/>
      <c r="E722" s="14"/>
      <c r="F722" s="81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spans="2:18" ht="18" customHeight="1" x14ac:dyDescent="0.25">
      <c r="B723" s="12"/>
      <c r="C723" s="13"/>
      <c r="D723" s="12"/>
      <c r="E723" s="14"/>
      <c r="F723" s="81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spans="2:18" ht="18" customHeight="1" x14ac:dyDescent="0.25">
      <c r="B724" s="12"/>
      <c r="C724" s="13"/>
      <c r="D724" s="12"/>
      <c r="E724" s="14"/>
      <c r="F724" s="81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 spans="2:18" ht="18" customHeight="1" x14ac:dyDescent="0.25">
      <c r="B725" s="12"/>
      <c r="C725" s="13"/>
      <c r="D725" s="12"/>
      <c r="E725" s="14"/>
      <c r="F725" s="81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 spans="2:18" ht="18" customHeight="1" x14ac:dyDescent="0.25">
      <c r="B726" s="12"/>
      <c r="C726" s="13"/>
      <c r="D726" s="12"/>
      <c r="E726" s="14"/>
      <c r="F726" s="81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 spans="2:18" ht="18" customHeight="1" x14ac:dyDescent="0.25">
      <c r="B727" s="12"/>
      <c r="C727" s="13"/>
      <c r="D727" s="12"/>
      <c r="E727" s="14"/>
      <c r="F727" s="81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 spans="2:18" ht="18" customHeight="1" x14ac:dyDescent="0.25">
      <c r="B728" s="12"/>
      <c r="C728" s="13"/>
      <c r="D728" s="12"/>
      <c r="E728" s="14"/>
      <c r="F728" s="81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 spans="2:18" ht="18" customHeight="1" x14ac:dyDescent="0.25">
      <c r="B729" s="12"/>
      <c r="C729" s="13"/>
      <c r="D729" s="12"/>
      <c r="E729" s="14"/>
      <c r="F729" s="81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 spans="2:18" ht="18" customHeight="1" x14ac:dyDescent="0.25">
      <c r="B730" s="12"/>
      <c r="C730" s="13"/>
      <c r="D730" s="12"/>
      <c r="E730" s="14"/>
      <c r="F730" s="81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spans="2:18" ht="18" customHeight="1" x14ac:dyDescent="0.25">
      <c r="B731" s="12"/>
      <c r="C731" s="13"/>
      <c r="D731" s="12"/>
      <c r="E731" s="14"/>
      <c r="F731" s="81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 spans="2:18" ht="18" customHeight="1" x14ac:dyDescent="0.25">
      <c r="B732" s="12"/>
      <c r="C732" s="13"/>
      <c r="D732" s="12"/>
      <c r="E732" s="14"/>
      <c r="F732" s="81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spans="2:18" ht="18" customHeight="1" x14ac:dyDescent="0.25">
      <c r="B733" s="12"/>
      <c r="C733" s="13"/>
      <c r="D733" s="12"/>
      <c r="E733" s="14"/>
      <c r="F733" s="81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 spans="2:18" ht="18" customHeight="1" x14ac:dyDescent="0.25">
      <c r="B734" s="12"/>
      <c r="C734" s="13"/>
      <c r="D734" s="12"/>
      <c r="E734" s="14"/>
      <c r="F734" s="81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 spans="2:18" ht="18" customHeight="1" x14ac:dyDescent="0.25">
      <c r="B735" s="12"/>
      <c r="C735" s="13"/>
      <c r="D735" s="12"/>
      <c r="E735" s="14"/>
      <c r="F735" s="81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 spans="2:18" ht="18" customHeight="1" x14ac:dyDescent="0.25">
      <c r="B736" s="12"/>
      <c r="C736" s="13"/>
      <c r="D736" s="12"/>
      <c r="E736" s="14"/>
      <c r="F736" s="81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 spans="2:18" ht="18" customHeight="1" x14ac:dyDescent="0.25">
      <c r="B737" s="12"/>
      <c r="C737" s="13"/>
      <c r="D737" s="12"/>
      <c r="E737" s="14"/>
      <c r="F737" s="81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spans="2:18" ht="18" customHeight="1" x14ac:dyDescent="0.25">
      <c r="B738" s="12"/>
      <c r="C738" s="13"/>
      <c r="D738" s="12"/>
      <c r="E738" s="14"/>
      <c r="F738" s="81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 spans="2:18" ht="18" customHeight="1" x14ac:dyDescent="0.25">
      <c r="B739" s="12"/>
      <c r="C739" s="13"/>
      <c r="D739" s="12"/>
      <c r="E739" s="14"/>
      <c r="F739" s="81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 spans="2:18" ht="18" customHeight="1" x14ac:dyDescent="0.25">
      <c r="B740" s="12"/>
      <c r="C740" s="13"/>
      <c r="D740" s="12"/>
      <c r="E740" s="14"/>
      <c r="F740" s="81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 spans="2:18" ht="18" customHeight="1" x14ac:dyDescent="0.25">
      <c r="B741" s="12"/>
      <c r="C741" s="13"/>
      <c r="D741" s="12"/>
      <c r="E741" s="14"/>
      <c r="F741" s="81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 spans="2:18" ht="18" customHeight="1" x14ac:dyDescent="0.25">
      <c r="B742" s="12"/>
      <c r="C742" s="13"/>
      <c r="D742" s="12"/>
      <c r="E742" s="14"/>
      <c r="F742" s="81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spans="2:18" ht="18" customHeight="1" x14ac:dyDescent="0.25">
      <c r="B743" s="12"/>
      <c r="C743" s="13"/>
      <c r="D743" s="12"/>
      <c r="E743" s="14"/>
      <c r="F743" s="81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 spans="2:18" ht="18" customHeight="1" x14ac:dyDescent="0.25">
      <c r="B744" s="12"/>
      <c r="C744" s="13"/>
      <c r="D744" s="12"/>
      <c r="E744" s="14"/>
      <c r="F744" s="81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 spans="2:18" ht="18" customHeight="1" x14ac:dyDescent="0.25">
      <c r="B745" s="12"/>
      <c r="C745" s="13"/>
      <c r="D745" s="12"/>
      <c r="E745" s="14"/>
      <c r="F745" s="81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 spans="2:18" ht="18" customHeight="1" x14ac:dyDescent="0.25">
      <c r="B746" s="12"/>
      <c r="C746" s="13"/>
      <c r="D746" s="12"/>
      <c r="E746" s="14"/>
      <c r="F746" s="81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 spans="2:18" ht="18" customHeight="1" x14ac:dyDescent="0.25">
      <c r="B747" s="12"/>
      <c r="C747" s="13"/>
      <c r="D747" s="12"/>
      <c r="E747" s="14"/>
      <c r="F747" s="81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 spans="2:18" ht="18" customHeight="1" x14ac:dyDescent="0.25">
      <c r="B748" s="12"/>
      <c r="C748" s="13"/>
      <c r="D748" s="12"/>
      <c r="E748" s="14"/>
      <c r="F748" s="81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 spans="2:18" ht="18" customHeight="1" x14ac:dyDescent="0.25">
      <c r="B749" s="12"/>
      <c r="C749" s="13"/>
      <c r="D749" s="12"/>
      <c r="E749" s="14"/>
      <c r="F749" s="81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 spans="2:18" ht="18" customHeight="1" x14ac:dyDescent="0.25">
      <c r="B750" s="12"/>
      <c r="C750" s="13"/>
      <c r="D750" s="12"/>
      <c r="E750" s="14"/>
      <c r="F750" s="81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 spans="2:18" ht="18" customHeight="1" x14ac:dyDescent="0.25">
      <c r="B751" s="12"/>
      <c r="C751" s="13"/>
      <c r="D751" s="12"/>
      <c r="E751" s="14"/>
      <c r="F751" s="81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spans="2:18" ht="18" customHeight="1" x14ac:dyDescent="0.25">
      <c r="B752" s="12"/>
      <c r="C752" s="13"/>
      <c r="D752" s="12"/>
      <c r="E752" s="14"/>
      <c r="F752" s="81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spans="2:18" ht="18" customHeight="1" x14ac:dyDescent="0.25">
      <c r="B753" s="12"/>
      <c r="C753" s="13"/>
      <c r="D753" s="12"/>
      <c r="E753" s="14"/>
      <c r="F753" s="81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 spans="2:18" ht="18" customHeight="1" x14ac:dyDescent="0.25">
      <c r="B754" s="12"/>
      <c r="C754" s="13"/>
      <c r="D754" s="12"/>
      <c r="E754" s="14"/>
      <c r="F754" s="81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spans="2:18" ht="18" customHeight="1" x14ac:dyDescent="0.25">
      <c r="B755" s="12"/>
      <c r="C755" s="13"/>
      <c r="D755" s="12"/>
      <c r="E755" s="14"/>
      <c r="F755" s="81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 spans="2:18" ht="18" customHeight="1" x14ac:dyDescent="0.25">
      <c r="B756" s="12"/>
      <c r="C756" s="13"/>
      <c r="D756" s="12"/>
      <c r="E756" s="14"/>
      <c r="F756" s="81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 spans="2:18" ht="18" customHeight="1" x14ac:dyDescent="0.25">
      <c r="B757" s="12"/>
      <c r="C757" s="13"/>
      <c r="D757" s="12"/>
      <c r="E757" s="14"/>
      <c r="F757" s="81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 spans="2:18" ht="18" customHeight="1" x14ac:dyDescent="0.25">
      <c r="B758" s="12"/>
      <c r="C758" s="13"/>
      <c r="D758" s="12"/>
      <c r="E758" s="14"/>
      <c r="F758" s="81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 spans="2:18" ht="18" customHeight="1" x14ac:dyDescent="0.25">
      <c r="B759" s="12"/>
      <c r="C759" s="13"/>
      <c r="D759" s="12"/>
      <c r="E759" s="14"/>
      <c r="F759" s="81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 spans="2:18" ht="18" customHeight="1" x14ac:dyDescent="0.25">
      <c r="B760" s="12"/>
      <c r="C760" s="13"/>
      <c r="D760" s="12"/>
      <c r="E760" s="14"/>
      <c r="F760" s="81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 spans="2:18" ht="18" customHeight="1" x14ac:dyDescent="0.25">
      <c r="B761" s="12"/>
      <c r="C761" s="13"/>
      <c r="D761" s="12"/>
      <c r="E761" s="14"/>
      <c r="F761" s="81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 spans="2:18" ht="18" customHeight="1" x14ac:dyDescent="0.25">
      <c r="B762" s="12"/>
      <c r="C762" s="13"/>
      <c r="D762" s="12"/>
      <c r="E762" s="14"/>
      <c r="F762" s="81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spans="2:18" ht="18" customHeight="1" x14ac:dyDescent="0.25">
      <c r="B763" s="12"/>
      <c r="C763" s="13"/>
      <c r="D763" s="12"/>
      <c r="E763" s="14"/>
      <c r="F763" s="81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 spans="2:18" ht="18" customHeight="1" x14ac:dyDescent="0.25">
      <c r="B764" s="12"/>
      <c r="C764" s="13"/>
      <c r="D764" s="12"/>
      <c r="E764" s="14"/>
      <c r="F764" s="81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 spans="2:18" ht="18" customHeight="1" x14ac:dyDescent="0.25">
      <c r="B765" s="12"/>
      <c r="C765" s="13"/>
      <c r="D765" s="12"/>
      <c r="E765" s="14"/>
      <c r="F765" s="81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 spans="2:18" ht="18" customHeight="1" x14ac:dyDescent="0.25">
      <c r="B766" s="12"/>
      <c r="C766" s="13"/>
      <c r="D766" s="12"/>
      <c r="E766" s="14"/>
      <c r="F766" s="81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spans="2:18" ht="18" customHeight="1" x14ac:dyDescent="0.25">
      <c r="B767" s="12"/>
      <c r="C767" s="13"/>
      <c r="D767" s="12"/>
      <c r="E767" s="14"/>
      <c r="F767" s="81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spans="2:18" ht="18" customHeight="1" x14ac:dyDescent="0.25">
      <c r="B768" s="12"/>
      <c r="C768" s="13"/>
      <c r="D768" s="12"/>
      <c r="E768" s="14"/>
      <c r="F768" s="81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 spans="2:18" ht="18" customHeight="1" x14ac:dyDescent="0.25">
      <c r="B769" s="12"/>
      <c r="C769" s="13"/>
      <c r="D769" s="12"/>
      <c r="E769" s="14"/>
      <c r="F769" s="81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 spans="2:18" ht="18" customHeight="1" x14ac:dyDescent="0.25">
      <c r="B770" s="12"/>
      <c r="C770" s="13"/>
      <c r="D770" s="12"/>
      <c r="E770" s="14"/>
      <c r="F770" s="81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 spans="2:18" ht="18" customHeight="1" x14ac:dyDescent="0.25">
      <c r="B771" s="12"/>
      <c r="C771" s="13"/>
      <c r="D771" s="12"/>
      <c r="E771" s="14"/>
      <c r="F771" s="81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 spans="2:18" ht="18" customHeight="1" x14ac:dyDescent="0.25">
      <c r="B772" s="12"/>
      <c r="C772" s="13"/>
      <c r="D772" s="12"/>
      <c r="E772" s="14"/>
      <c r="F772" s="81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spans="2:18" ht="18" customHeight="1" x14ac:dyDescent="0.25">
      <c r="B773" s="12"/>
      <c r="C773" s="13"/>
      <c r="D773" s="12"/>
      <c r="E773" s="14"/>
      <c r="F773" s="81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 spans="2:18" ht="18" customHeight="1" x14ac:dyDescent="0.25">
      <c r="B774" s="12"/>
      <c r="C774" s="13"/>
      <c r="D774" s="12"/>
      <c r="E774" s="14"/>
      <c r="F774" s="81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 spans="2:18" ht="18" customHeight="1" x14ac:dyDescent="0.25">
      <c r="B775" s="12"/>
      <c r="C775" s="13"/>
      <c r="D775" s="12"/>
      <c r="E775" s="14"/>
      <c r="F775" s="81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 spans="2:18" ht="18" customHeight="1" x14ac:dyDescent="0.25">
      <c r="B776" s="12"/>
      <c r="C776" s="13"/>
      <c r="D776" s="12"/>
      <c r="E776" s="14"/>
      <c r="F776" s="81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 spans="2:18" ht="18" customHeight="1" x14ac:dyDescent="0.25">
      <c r="B777" s="12"/>
      <c r="C777" s="13"/>
      <c r="D777" s="12"/>
      <c r="E777" s="14"/>
      <c r="F777" s="81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 spans="2:18" ht="18" customHeight="1" x14ac:dyDescent="0.25">
      <c r="B778" s="12"/>
      <c r="C778" s="13"/>
      <c r="D778" s="12"/>
      <c r="E778" s="14"/>
      <c r="F778" s="81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</row>
    <row r="779" spans="2:18" ht="18" customHeight="1" x14ac:dyDescent="0.25">
      <c r="B779" s="12"/>
      <c r="C779" s="13"/>
      <c r="D779" s="12"/>
      <c r="E779" s="14"/>
      <c r="F779" s="81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</row>
    <row r="780" spans="2:18" ht="18" customHeight="1" x14ac:dyDescent="0.25">
      <c r="B780" s="12"/>
      <c r="C780" s="13"/>
      <c r="D780" s="12"/>
      <c r="E780" s="14"/>
      <c r="F780" s="81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</row>
    <row r="781" spans="2:18" ht="18" customHeight="1" x14ac:dyDescent="0.25">
      <c r="B781" s="12"/>
      <c r="C781" s="13"/>
      <c r="D781" s="12"/>
      <c r="E781" s="14"/>
      <c r="F781" s="81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</row>
    <row r="782" spans="2:18" ht="18" customHeight="1" x14ac:dyDescent="0.25">
      <c r="B782" s="12"/>
      <c r="C782" s="13"/>
      <c r="D782" s="12"/>
      <c r="E782" s="14"/>
      <c r="F782" s="81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</row>
    <row r="783" spans="2:18" ht="18" customHeight="1" x14ac:dyDescent="0.25">
      <c r="B783" s="12"/>
      <c r="C783" s="13"/>
      <c r="D783" s="12"/>
      <c r="E783" s="14"/>
      <c r="F783" s="81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</row>
    <row r="784" spans="2:18" ht="18" customHeight="1" x14ac:dyDescent="0.25">
      <c r="B784" s="12"/>
      <c r="C784" s="13"/>
      <c r="D784" s="12"/>
      <c r="E784" s="14"/>
      <c r="F784" s="81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</row>
    <row r="785" spans="2:18" ht="18" customHeight="1" x14ac:dyDescent="0.25">
      <c r="B785" s="12"/>
      <c r="C785" s="13"/>
      <c r="D785" s="12"/>
      <c r="E785" s="14"/>
      <c r="F785" s="81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</row>
    <row r="786" spans="2:18" ht="18" customHeight="1" x14ac:dyDescent="0.25">
      <c r="B786" s="12"/>
      <c r="C786" s="13"/>
      <c r="D786" s="12"/>
      <c r="E786" s="14"/>
      <c r="F786" s="81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</row>
    <row r="787" spans="2:18" ht="18" customHeight="1" x14ac:dyDescent="0.25">
      <c r="B787" s="12"/>
      <c r="C787" s="13"/>
      <c r="D787" s="12"/>
      <c r="E787" s="14"/>
      <c r="F787" s="81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 spans="2:18" ht="18" customHeight="1" x14ac:dyDescent="0.25">
      <c r="B788" s="12"/>
      <c r="C788" s="13"/>
      <c r="D788" s="12"/>
      <c r="E788" s="14"/>
      <c r="F788" s="81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</row>
    <row r="789" spans="2:18" ht="18" customHeight="1" x14ac:dyDescent="0.25">
      <c r="B789" s="12"/>
      <c r="C789" s="13"/>
      <c r="D789" s="12"/>
      <c r="E789" s="14"/>
      <c r="F789" s="81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</row>
    <row r="790" spans="2:18" ht="18" customHeight="1" x14ac:dyDescent="0.25">
      <c r="B790" s="12"/>
      <c r="C790" s="13"/>
      <c r="D790" s="12"/>
      <c r="E790" s="14"/>
      <c r="F790" s="81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</row>
    <row r="791" spans="2:18" ht="18" customHeight="1" x14ac:dyDescent="0.25">
      <c r="B791" s="12"/>
      <c r="C791" s="13"/>
      <c r="D791" s="12"/>
      <c r="E791" s="14"/>
      <c r="F791" s="81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</row>
    <row r="792" spans="2:18" ht="18" customHeight="1" x14ac:dyDescent="0.25">
      <c r="B792" s="12"/>
      <c r="C792" s="13"/>
      <c r="D792" s="12"/>
      <c r="E792" s="14"/>
      <c r="F792" s="81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</row>
    <row r="793" spans="2:18" ht="18" customHeight="1" x14ac:dyDescent="0.25">
      <c r="B793" s="12"/>
      <c r="C793" s="13"/>
      <c r="D793" s="12"/>
      <c r="E793" s="14"/>
      <c r="F793" s="81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</row>
    <row r="794" spans="2:18" ht="18" customHeight="1" x14ac:dyDescent="0.25">
      <c r="B794" s="12"/>
      <c r="C794" s="13"/>
      <c r="D794" s="12"/>
      <c r="E794" s="14"/>
      <c r="F794" s="81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</row>
    <row r="795" spans="2:18" ht="18" customHeight="1" x14ac:dyDescent="0.25">
      <c r="B795" s="12"/>
      <c r="C795" s="13"/>
      <c r="D795" s="12"/>
      <c r="E795" s="14"/>
      <c r="F795" s="81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</row>
    <row r="796" spans="2:18" ht="18" customHeight="1" x14ac:dyDescent="0.25">
      <c r="B796" s="12"/>
      <c r="C796" s="13"/>
      <c r="D796" s="12"/>
      <c r="E796" s="14"/>
      <c r="F796" s="81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</row>
    <row r="797" spans="2:18" ht="18" customHeight="1" x14ac:dyDescent="0.25">
      <c r="B797" s="12"/>
      <c r="C797" s="13"/>
      <c r="D797" s="12"/>
      <c r="E797" s="14"/>
      <c r="F797" s="81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 spans="2:18" ht="18" customHeight="1" x14ac:dyDescent="0.25">
      <c r="B798" s="12"/>
      <c r="C798" s="13"/>
      <c r="D798" s="12"/>
      <c r="E798" s="14"/>
      <c r="F798" s="81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 spans="2:18" ht="18" customHeight="1" x14ac:dyDescent="0.25">
      <c r="B799" s="12"/>
      <c r="C799" s="13"/>
      <c r="D799" s="12"/>
      <c r="E799" s="14"/>
      <c r="F799" s="81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</row>
    <row r="800" spans="2:18" ht="18" customHeight="1" x14ac:dyDescent="0.25">
      <c r="B800" s="12"/>
      <c r="C800" s="13"/>
      <c r="D800" s="12"/>
      <c r="E800" s="14"/>
      <c r="F800" s="81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</row>
    <row r="801" spans="2:18" ht="18" customHeight="1" x14ac:dyDescent="0.25">
      <c r="B801" s="12"/>
      <c r="C801" s="13"/>
      <c r="D801" s="12"/>
      <c r="E801" s="14"/>
      <c r="F801" s="81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</row>
    <row r="802" spans="2:18" ht="18" customHeight="1" x14ac:dyDescent="0.25">
      <c r="B802" s="12"/>
      <c r="C802" s="13"/>
      <c r="D802" s="12"/>
      <c r="E802" s="14"/>
      <c r="F802" s="81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</row>
    <row r="803" spans="2:18" ht="18" customHeight="1" x14ac:dyDescent="0.25">
      <c r="B803" s="12"/>
      <c r="C803" s="13"/>
      <c r="D803" s="12"/>
      <c r="E803" s="14"/>
      <c r="F803" s="81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</row>
    <row r="804" spans="2:18" ht="18" customHeight="1" x14ac:dyDescent="0.25">
      <c r="B804" s="12"/>
      <c r="C804" s="13"/>
      <c r="D804" s="12"/>
      <c r="E804" s="14"/>
      <c r="F804" s="81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</row>
    <row r="805" spans="2:18" ht="18" customHeight="1" x14ac:dyDescent="0.25">
      <c r="B805" s="12"/>
      <c r="C805" s="13"/>
      <c r="D805" s="12"/>
      <c r="E805" s="14"/>
      <c r="F805" s="81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</row>
    <row r="806" spans="2:18" ht="18" customHeight="1" x14ac:dyDescent="0.25">
      <c r="B806" s="12"/>
      <c r="C806" s="13"/>
      <c r="D806" s="12"/>
      <c r="E806" s="14"/>
      <c r="F806" s="81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 spans="2:18" ht="18" customHeight="1" x14ac:dyDescent="0.25">
      <c r="B807" s="12"/>
      <c r="C807" s="13"/>
      <c r="D807" s="12"/>
      <c r="E807" s="14"/>
      <c r="F807" s="81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</row>
    <row r="808" spans="2:18" ht="18" customHeight="1" x14ac:dyDescent="0.25">
      <c r="B808" s="12"/>
      <c r="C808" s="13"/>
      <c r="D808" s="12"/>
      <c r="E808" s="14"/>
      <c r="F808" s="81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 spans="2:18" ht="18" customHeight="1" x14ac:dyDescent="0.25">
      <c r="B809" s="12"/>
      <c r="C809" s="13"/>
      <c r="D809" s="12"/>
      <c r="E809" s="14"/>
      <c r="F809" s="81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</row>
    <row r="810" spans="2:18" ht="18" customHeight="1" x14ac:dyDescent="0.25">
      <c r="B810" s="12"/>
      <c r="C810" s="13"/>
      <c r="D810" s="12"/>
      <c r="E810" s="14"/>
      <c r="F810" s="81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</row>
    <row r="811" spans="2:18" ht="18" customHeight="1" x14ac:dyDescent="0.25">
      <c r="B811" s="12"/>
      <c r="C811" s="13"/>
      <c r="D811" s="12"/>
      <c r="E811" s="14"/>
      <c r="F811" s="81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</row>
    <row r="812" spans="2:18" ht="18" customHeight="1" x14ac:dyDescent="0.25">
      <c r="B812" s="12"/>
      <c r="C812" s="13"/>
      <c r="D812" s="12"/>
      <c r="E812" s="14"/>
      <c r="F812" s="81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</row>
    <row r="813" spans="2:18" ht="18" customHeight="1" x14ac:dyDescent="0.25">
      <c r="B813" s="12"/>
      <c r="C813" s="13"/>
      <c r="D813" s="12"/>
      <c r="E813" s="14"/>
      <c r="F813" s="81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</row>
    <row r="814" spans="2:18" ht="18" customHeight="1" x14ac:dyDescent="0.25">
      <c r="B814" s="12"/>
      <c r="C814" s="13"/>
      <c r="D814" s="12"/>
      <c r="E814" s="14"/>
      <c r="F814" s="81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</row>
    <row r="815" spans="2:18" ht="18" customHeight="1" x14ac:dyDescent="0.25">
      <c r="B815" s="12"/>
      <c r="C815" s="13"/>
      <c r="D815" s="12"/>
      <c r="E815" s="14"/>
      <c r="F815" s="81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</row>
    <row r="816" spans="2:18" ht="18" customHeight="1" x14ac:dyDescent="0.25">
      <c r="B816" s="12"/>
      <c r="C816" s="13"/>
      <c r="D816" s="12"/>
      <c r="E816" s="14"/>
      <c r="F816" s="81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</row>
    <row r="817" spans="2:18" ht="18" customHeight="1" x14ac:dyDescent="0.25">
      <c r="B817" s="12"/>
      <c r="C817" s="13"/>
      <c r="D817" s="12"/>
      <c r="E817" s="14"/>
      <c r="F817" s="81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</row>
    <row r="818" spans="2:18" ht="18" customHeight="1" x14ac:dyDescent="0.25">
      <c r="B818" s="12"/>
      <c r="C818" s="13"/>
      <c r="D818" s="12"/>
      <c r="E818" s="14"/>
      <c r="F818" s="81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</row>
    <row r="819" spans="2:18" ht="18" customHeight="1" x14ac:dyDescent="0.25">
      <c r="B819" s="12"/>
      <c r="C819" s="13"/>
      <c r="D819" s="12"/>
      <c r="E819" s="14"/>
      <c r="F819" s="81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</row>
    <row r="820" spans="2:18" ht="18" customHeight="1" x14ac:dyDescent="0.25">
      <c r="B820" s="12"/>
      <c r="C820" s="13"/>
      <c r="D820" s="12"/>
      <c r="E820" s="14"/>
      <c r="F820" s="81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</row>
    <row r="821" spans="2:18" ht="18" customHeight="1" x14ac:dyDescent="0.25">
      <c r="B821" s="12"/>
      <c r="C821" s="13"/>
      <c r="D821" s="12"/>
      <c r="E821" s="14"/>
      <c r="F821" s="81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</row>
    <row r="822" spans="2:18" ht="18" customHeight="1" x14ac:dyDescent="0.25">
      <c r="B822" s="12"/>
      <c r="C822" s="13"/>
      <c r="D822" s="12"/>
      <c r="E822" s="14"/>
      <c r="F822" s="81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 spans="2:18" ht="18" customHeight="1" x14ac:dyDescent="0.25">
      <c r="B823" s="12"/>
      <c r="C823" s="13"/>
      <c r="D823" s="12"/>
      <c r="E823" s="14"/>
      <c r="F823" s="81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</row>
    <row r="824" spans="2:18" ht="18" customHeight="1" x14ac:dyDescent="0.25">
      <c r="B824" s="12"/>
      <c r="C824" s="13"/>
      <c r="D824" s="12"/>
      <c r="E824" s="14"/>
      <c r="F824" s="81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</row>
    <row r="825" spans="2:18" ht="18" customHeight="1" x14ac:dyDescent="0.25">
      <c r="B825" s="12"/>
      <c r="C825" s="13"/>
      <c r="D825" s="12"/>
      <c r="E825" s="14"/>
      <c r="F825" s="81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</row>
    <row r="826" spans="2:18" ht="18" customHeight="1" x14ac:dyDescent="0.25">
      <c r="B826" s="12"/>
      <c r="C826" s="13"/>
      <c r="D826" s="12"/>
      <c r="E826" s="14"/>
      <c r="F826" s="81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</row>
    <row r="827" spans="2:18" ht="18" customHeight="1" x14ac:dyDescent="0.25">
      <c r="B827" s="12"/>
      <c r="C827" s="13"/>
      <c r="D827" s="12"/>
      <c r="E827" s="14"/>
      <c r="F827" s="81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</row>
    <row r="828" spans="2:18" ht="18" customHeight="1" x14ac:dyDescent="0.25">
      <c r="B828" s="12"/>
      <c r="C828" s="13"/>
      <c r="D828" s="12"/>
      <c r="E828" s="14"/>
      <c r="F828" s="81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</row>
    <row r="829" spans="2:18" ht="18" customHeight="1" x14ac:dyDescent="0.25">
      <c r="B829" s="12"/>
      <c r="C829" s="13"/>
      <c r="D829" s="12"/>
      <c r="E829" s="14"/>
      <c r="F829" s="81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</row>
    <row r="830" spans="2:18" ht="18" customHeight="1" x14ac:dyDescent="0.25">
      <c r="B830" s="12"/>
      <c r="C830" s="13"/>
      <c r="D830" s="12"/>
      <c r="E830" s="14"/>
      <c r="F830" s="81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</row>
    <row r="831" spans="2:18" ht="18" customHeight="1" x14ac:dyDescent="0.25">
      <c r="B831" s="12"/>
      <c r="C831" s="13"/>
      <c r="D831" s="12"/>
      <c r="E831" s="14"/>
      <c r="F831" s="81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</row>
    <row r="832" spans="2:18" ht="18" customHeight="1" x14ac:dyDescent="0.25">
      <c r="B832" s="12"/>
      <c r="C832" s="13"/>
      <c r="D832" s="12"/>
      <c r="E832" s="14"/>
      <c r="F832" s="81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</row>
    <row r="833" spans="2:18" ht="18" customHeight="1" x14ac:dyDescent="0.25">
      <c r="B833" s="12"/>
      <c r="C833" s="13"/>
      <c r="D833" s="12"/>
      <c r="E833" s="14"/>
      <c r="F833" s="81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 spans="2:18" ht="18" customHeight="1" x14ac:dyDescent="0.25">
      <c r="B834" s="12"/>
      <c r="C834" s="13"/>
      <c r="D834" s="12"/>
      <c r="E834" s="14"/>
      <c r="F834" s="81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spans="2:18" ht="18" customHeight="1" x14ac:dyDescent="0.25">
      <c r="B835" s="12"/>
      <c r="C835" s="13"/>
      <c r="D835" s="12"/>
      <c r="E835" s="14"/>
      <c r="F835" s="81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 spans="2:18" ht="18" customHeight="1" x14ac:dyDescent="0.25">
      <c r="B836" s="12"/>
      <c r="C836" s="13"/>
      <c r="D836" s="12"/>
      <c r="E836" s="14"/>
      <c r="F836" s="81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</row>
    <row r="837" spans="2:18" ht="18" customHeight="1" x14ac:dyDescent="0.25">
      <c r="B837" s="12"/>
      <c r="C837" s="13"/>
      <c r="D837" s="12"/>
      <c r="E837" s="14"/>
      <c r="F837" s="81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</row>
    <row r="838" spans="2:18" ht="18" customHeight="1" x14ac:dyDescent="0.25">
      <c r="B838" s="12"/>
      <c r="C838" s="13"/>
      <c r="D838" s="12"/>
      <c r="E838" s="14"/>
      <c r="F838" s="81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</row>
    <row r="839" spans="2:18" ht="18" customHeight="1" x14ac:dyDescent="0.25">
      <c r="B839" s="12"/>
      <c r="C839" s="13"/>
      <c r="D839" s="12"/>
      <c r="E839" s="14"/>
      <c r="F839" s="81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 spans="2:18" ht="18" customHeight="1" x14ac:dyDescent="0.25">
      <c r="B840" s="12"/>
      <c r="C840" s="13"/>
      <c r="D840" s="12"/>
      <c r="E840" s="14"/>
      <c r="F840" s="81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</row>
    <row r="841" spans="2:18" ht="18" customHeight="1" x14ac:dyDescent="0.25">
      <c r="B841" s="12"/>
      <c r="C841" s="13"/>
      <c r="D841" s="12"/>
      <c r="E841" s="14"/>
      <c r="F841" s="81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</row>
    <row r="842" spans="2:18" ht="18" customHeight="1" x14ac:dyDescent="0.25">
      <c r="B842" s="12"/>
      <c r="C842" s="13"/>
      <c r="D842" s="12"/>
      <c r="E842" s="14"/>
      <c r="F842" s="81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</row>
    <row r="843" spans="2:18" ht="18" customHeight="1" x14ac:dyDescent="0.25">
      <c r="B843" s="12"/>
      <c r="C843" s="13"/>
      <c r="D843" s="12"/>
      <c r="E843" s="14"/>
      <c r="F843" s="81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</row>
    <row r="844" spans="2:18" ht="18" customHeight="1" x14ac:dyDescent="0.25">
      <c r="B844" s="12"/>
      <c r="C844" s="13"/>
      <c r="D844" s="12"/>
      <c r="E844" s="14"/>
      <c r="F844" s="81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</row>
    <row r="845" spans="2:18" ht="18" customHeight="1" x14ac:dyDescent="0.25">
      <c r="B845" s="12"/>
      <c r="C845" s="13"/>
      <c r="D845" s="12"/>
      <c r="E845" s="14"/>
      <c r="F845" s="81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 spans="2:18" ht="18" customHeight="1" x14ac:dyDescent="0.25">
      <c r="B846" s="12"/>
      <c r="C846" s="13"/>
      <c r="D846" s="12"/>
      <c r="E846" s="14"/>
      <c r="F846" s="81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</row>
    <row r="847" spans="2:18" ht="18" customHeight="1" x14ac:dyDescent="0.25">
      <c r="B847" s="12"/>
      <c r="C847" s="13"/>
      <c r="D847" s="12"/>
      <c r="E847" s="14"/>
      <c r="F847" s="81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</row>
    <row r="848" spans="2:18" ht="18" customHeight="1" x14ac:dyDescent="0.25">
      <c r="B848" s="12"/>
      <c r="C848" s="13"/>
      <c r="D848" s="12"/>
      <c r="E848" s="14"/>
      <c r="F848" s="81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</row>
    <row r="849" spans="2:18" ht="18" customHeight="1" x14ac:dyDescent="0.25">
      <c r="B849" s="12"/>
      <c r="C849" s="13"/>
      <c r="D849" s="12"/>
      <c r="E849" s="14"/>
      <c r="F849" s="81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</row>
    <row r="850" spans="2:18" ht="18" customHeight="1" x14ac:dyDescent="0.25">
      <c r="B850" s="12"/>
      <c r="C850" s="13"/>
      <c r="D850" s="12"/>
      <c r="E850" s="14"/>
      <c r="F850" s="81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</row>
    <row r="851" spans="2:18" ht="18" customHeight="1" x14ac:dyDescent="0.25">
      <c r="B851" s="12"/>
      <c r="C851" s="13"/>
      <c r="D851" s="12"/>
      <c r="E851" s="14"/>
      <c r="F851" s="81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</row>
    <row r="852" spans="2:18" ht="18" customHeight="1" x14ac:dyDescent="0.25">
      <c r="B852" s="12"/>
      <c r="C852" s="13"/>
      <c r="D852" s="12"/>
      <c r="E852" s="14"/>
      <c r="F852" s="81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</row>
    <row r="853" spans="2:18" ht="18" customHeight="1" x14ac:dyDescent="0.25">
      <c r="B853" s="12"/>
      <c r="C853" s="13"/>
      <c r="D853" s="12"/>
      <c r="E853" s="14"/>
      <c r="F853" s="81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</row>
    <row r="854" spans="2:18" ht="18" customHeight="1" x14ac:dyDescent="0.25">
      <c r="B854" s="12"/>
      <c r="C854" s="13"/>
      <c r="D854" s="12"/>
      <c r="E854" s="14"/>
      <c r="F854" s="81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</row>
    <row r="855" spans="2:18" ht="18" customHeight="1" x14ac:dyDescent="0.25">
      <c r="B855" s="12"/>
      <c r="C855" s="13"/>
      <c r="D855" s="12"/>
      <c r="E855" s="14"/>
      <c r="F855" s="81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 spans="2:18" ht="18" customHeight="1" x14ac:dyDescent="0.25">
      <c r="B856" s="12"/>
      <c r="C856" s="13"/>
      <c r="D856" s="12"/>
      <c r="E856" s="14"/>
      <c r="F856" s="81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</row>
    <row r="857" spans="2:18" ht="18" customHeight="1" x14ac:dyDescent="0.25">
      <c r="B857" s="12"/>
      <c r="C857" s="13"/>
      <c r="D857" s="12"/>
      <c r="E857" s="14"/>
      <c r="F857" s="81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</row>
    <row r="858" spans="2:18" ht="18" customHeight="1" x14ac:dyDescent="0.25">
      <c r="B858" s="12"/>
      <c r="C858" s="13"/>
      <c r="D858" s="12"/>
      <c r="E858" s="14"/>
      <c r="F858" s="81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</row>
    <row r="859" spans="2:18" ht="18" customHeight="1" x14ac:dyDescent="0.25">
      <c r="B859" s="12"/>
      <c r="C859" s="13"/>
      <c r="D859" s="12"/>
      <c r="E859" s="14"/>
      <c r="F859" s="81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</row>
    <row r="860" spans="2:18" ht="18" customHeight="1" x14ac:dyDescent="0.25">
      <c r="B860" s="12"/>
      <c r="C860" s="13"/>
      <c r="D860" s="12"/>
      <c r="E860" s="14"/>
      <c r="F860" s="81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</row>
    <row r="861" spans="2:18" ht="18" customHeight="1" x14ac:dyDescent="0.25">
      <c r="B861" s="12"/>
      <c r="C861" s="13"/>
      <c r="D861" s="12"/>
      <c r="E861" s="14"/>
      <c r="F861" s="81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</row>
    <row r="862" spans="2:18" ht="18" customHeight="1" x14ac:dyDescent="0.25">
      <c r="B862" s="12"/>
      <c r="C862" s="13"/>
      <c r="D862" s="12"/>
      <c r="E862" s="14"/>
      <c r="F862" s="81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</row>
    <row r="863" spans="2:18" ht="18" customHeight="1" x14ac:dyDescent="0.25">
      <c r="B863" s="12"/>
      <c r="C863" s="13"/>
      <c r="D863" s="12"/>
      <c r="E863" s="14"/>
      <c r="F863" s="81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</row>
    <row r="864" spans="2:18" ht="18" customHeight="1" x14ac:dyDescent="0.25">
      <c r="B864" s="12"/>
      <c r="C864" s="13"/>
      <c r="D864" s="12"/>
      <c r="E864" s="14"/>
      <c r="F864" s="81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</row>
    <row r="865" spans="2:18" ht="18" customHeight="1" x14ac:dyDescent="0.25">
      <c r="B865" s="12"/>
      <c r="C865" s="13"/>
      <c r="D865" s="12"/>
      <c r="E865" s="14"/>
      <c r="F865" s="81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 spans="2:18" ht="18" customHeight="1" x14ac:dyDescent="0.25">
      <c r="B866" s="12"/>
      <c r="C866" s="13"/>
      <c r="D866" s="12"/>
      <c r="E866" s="14"/>
      <c r="F866" s="81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</row>
    <row r="867" spans="2:18" ht="18" customHeight="1" x14ac:dyDescent="0.25">
      <c r="B867" s="12"/>
      <c r="C867" s="13"/>
      <c r="D867" s="12"/>
      <c r="E867" s="14"/>
      <c r="F867" s="81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</row>
    <row r="868" spans="2:18" ht="18" customHeight="1" x14ac:dyDescent="0.25">
      <c r="B868" s="12"/>
      <c r="C868" s="13"/>
      <c r="D868" s="12"/>
      <c r="E868" s="14"/>
      <c r="F868" s="81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</row>
    <row r="869" spans="2:18" ht="18" customHeight="1" x14ac:dyDescent="0.25">
      <c r="B869" s="12"/>
      <c r="C869" s="13"/>
      <c r="D869" s="12"/>
      <c r="E869" s="14"/>
      <c r="F869" s="81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</row>
    <row r="870" spans="2:18" ht="18" customHeight="1" x14ac:dyDescent="0.25">
      <c r="B870" s="12"/>
      <c r="C870" s="13"/>
      <c r="D870" s="12"/>
      <c r="E870" s="14"/>
      <c r="F870" s="81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</row>
    <row r="871" spans="2:18" ht="18" customHeight="1" x14ac:dyDescent="0.25">
      <c r="B871" s="12"/>
      <c r="C871" s="13"/>
      <c r="D871" s="12"/>
      <c r="E871" s="14"/>
      <c r="F871" s="81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</row>
    <row r="872" spans="2:18" ht="18" customHeight="1" x14ac:dyDescent="0.25">
      <c r="B872" s="12"/>
      <c r="C872" s="13"/>
      <c r="D872" s="12"/>
      <c r="E872" s="14"/>
      <c r="F872" s="81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</row>
    <row r="873" spans="2:18" ht="18" customHeight="1" x14ac:dyDescent="0.25">
      <c r="B873" s="12"/>
      <c r="C873" s="13"/>
      <c r="D873" s="12"/>
      <c r="E873" s="14"/>
      <c r="F873" s="81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</row>
    <row r="874" spans="2:18" ht="18" customHeight="1" x14ac:dyDescent="0.25">
      <c r="B874" s="12"/>
      <c r="C874" s="13"/>
      <c r="D874" s="12"/>
      <c r="E874" s="14"/>
      <c r="F874" s="81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</row>
    <row r="875" spans="2:18" ht="18" customHeight="1" x14ac:dyDescent="0.25">
      <c r="B875" s="12"/>
      <c r="C875" s="13"/>
      <c r="D875" s="12"/>
      <c r="E875" s="14"/>
      <c r="F875" s="81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</row>
    <row r="876" spans="2:18" ht="18" customHeight="1" x14ac:dyDescent="0.25">
      <c r="B876" s="12"/>
      <c r="C876" s="13"/>
      <c r="D876" s="12"/>
      <c r="E876" s="14"/>
      <c r="F876" s="81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 spans="2:18" ht="18" customHeight="1" x14ac:dyDescent="0.25">
      <c r="B877" s="12"/>
      <c r="C877" s="13"/>
      <c r="D877" s="12"/>
      <c r="E877" s="14"/>
      <c r="F877" s="81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 spans="2:18" ht="18" customHeight="1" x14ac:dyDescent="0.25">
      <c r="B878" s="12"/>
      <c r="C878" s="13"/>
      <c r="D878" s="12"/>
      <c r="E878" s="14"/>
      <c r="F878" s="81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</row>
    <row r="879" spans="2:18" ht="18" customHeight="1" x14ac:dyDescent="0.25">
      <c r="B879" s="12"/>
      <c r="C879" s="13"/>
      <c r="D879" s="12"/>
      <c r="E879" s="14"/>
      <c r="F879" s="81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</row>
    <row r="880" spans="2:18" ht="18" customHeight="1" x14ac:dyDescent="0.25">
      <c r="B880" s="12"/>
      <c r="C880" s="13"/>
      <c r="D880" s="12"/>
      <c r="E880" s="14"/>
      <c r="F880" s="81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</row>
    <row r="881" spans="2:18" ht="18" customHeight="1" x14ac:dyDescent="0.25">
      <c r="B881" s="12"/>
      <c r="C881" s="13"/>
      <c r="D881" s="12"/>
      <c r="E881" s="14"/>
      <c r="F881" s="81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</row>
    <row r="882" spans="2:18" ht="18" customHeight="1" x14ac:dyDescent="0.25">
      <c r="B882" s="12"/>
      <c r="C882" s="13"/>
      <c r="D882" s="12"/>
      <c r="E882" s="14"/>
      <c r="F882" s="81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</row>
    <row r="883" spans="2:18" ht="18" customHeight="1" x14ac:dyDescent="0.25">
      <c r="B883" s="12"/>
      <c r="C883" s="13"/>
      <c r="D883" s="12"/>
      <c r="E883" s="14"/>
      <c r="F883" s="81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</row>
    <row r="884" spans="2:18" ht="18" customHeight="1" x14ac:dyDescent="0.25">
      <c r="B884" s="12"/>
      <c r="C884" s="13"/>
      <c r="D884" s="12"/>
      <c r="E884" s="14"/>
      <c r="F884" s="81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</row>
    <row r="885" spans="2:18" ht="18" customHeight="1" x14ac:dyDescent="0.25">
      <c r="B885" s="12"/>
      <c r="C885" s="13"/>
      <c r="D885" s="12"/>
      <c r="E885" s="14"/>
      <c r="F885" s="81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</row>
    <row r="886" spans="2:18" ht="18" customHeight="1" x14ac:dyDescent="0.25">
      <c r="B886" s="12"/>
      <c r="C886" s="13"/>
      <c r="D886" s="12"/>
      <c r="E886" s="14"/>
      <c r="F886" s="81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</row>
    <row r="887" spans="2:18" ht="18" customHeight="1" x14ac:dyDescent="0.25">
      <c r="B887" s="12"/>
      <c r="C887" s="13"/>
      <c r="D887" s="12"/>
      <c r="E887" s="14"/>
      <c r="F887" s="81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 spans="2:18" ht="18" customHeight="1" x14ac:dyDescent="0.25">
      <c r="B888" s="12"/>
      <c r="C888" s="13"/>
      <c r="D888" s="12"/>
      <c r="E888" s="14"/>
      <c r="F888" s="81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 spans="2:18" ht="18" customHeight="1" x14ac:dyDescent="0.25">
      <c r="B889" s="12"/>
      <c r="C889" s="13"/>
      <c r="D889" s="12"/>
      <c r="E889" s="14"/>
      <c r="F889" s="81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</row>
    <row r="890" spans="2:18" ht="18" customHeight="1" x14ac:dyDescent="0.25">
      <c r="B890" s="12"/>
      <c r="C890" s="13"/>
      <c r="D890" s="12"/>
      <c r="E890" s="14"/>
      <c r="F890" s="81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</row>
    <row r="891" spans="2:18" ht="18" customHeight="1" x14ac:dyDescent="0.25">
      <c r="B891" s="12"/>
      <c r="C891" s="13"/>
      <c r="D891" s="12"/>
      <c r="E891" s="14"/>
      <c r="F891" s="81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</row>
    <row r="892" spans="2:18" ht="18" customHeight="1" x14ac:dyDescent="0.25">
      <c r="B892" s="12"/>
      <c r="C892" s="13"/>
      <c r="D892" s="12"/>
      <c r="E892" s="14"/>
      <c r="F892" s="81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</row>
    <row r="893" spans="2:18" ht="18" customHeight="1" x14ac:dyDescent="0.25">
      <c r="B893" s="12"/>
      <c r="C893" s="13"/>
      <c r="D893" s="12"/>
      <c r="E893" s="14"/>
      <c r="F893" s="81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</row>
    <row r="894" spans="2:18" ht="18" customHeight="1" x14ac:dyDescent="0.25">
      <c r="B894" s="12"/>
      <c r="C894" s="13"/>
      <c r="D894" s="12"/>
      <c r="E894" s="14"/>
      <c r="F894" s="81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</row>
    <row r="895" spans="2:18" ht="18" customHeight="1" x14ac:dyDescent="0.25">
      <c r="B895" s="12"/>
      <c r="C895" s="13"/>
      <c r="D895" s="12"/>
      <c r="E895" s="14"/>
      <c r="F895" s="81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</row>
    <row r="896" spans="2:18" ht="18" customHeight="1" x14ac:dyDescent="0.25">
      <c r="B896" s="12"/>
      <c r="C896" s="13"/>
      <c r="D896" s="12"/>
      <c r="E896" s="14"/>
      <c r="F896" s="81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</row>
    <row r="897" spans="2:18" ht="18" customHeight="1" x14ac:dyDescent="0.25">
      <c r="B897" s="12"/>
      <c r="C897" s="13"/>
      <c r="D897" s="12"/>
      <c r="E897" s="14"/>
      <c r="F897" s="81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 spans="2:18" ht="18" customHeight="1" x14ac:dyDescent="0.25">
      <c r="B898" s="12"/>
      <c r="C898" s="13"/>
      <c r="D898" s="12"/>
      <c r="E898" s="14"/>
      <c r="F898" s="81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</row>
    <row r="899" spans="2:18" ht="18" customHeight="1" x14ac:dyDescent="0.25">
      <c r="B899" s="12"/>
      <c r="C899" s="13"/>
      <c r="D899" s="12"/>
      <c r="E899" s="14"/>
      <c r="F899" s="81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</row>
    <row r="900" spans="2:18" ht="18" customHeight="1" x14ac:dyDescent="0.25">
      <c r="B900" s="12"/>
      <c r="C900" s="13"/>
      <c r="D900" s="12"/>
      <c r="E900" s="14"/>
      <c r="F900" s="81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</row>
    <row r="901" spans="2:18" ht="18" customHeight="1" x14ac:dyDescent="0.25">
      <c r="B901" s="12"/>
      <c r="C901" s="13"/>
      <c r="D901" s="12"/>
      <c r="E901" s="14"/>
      <c r="F901" s="81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</row>
    <row r="902" spans="2:18" ht="18" customHeight="1" x14ac:dyDescent="0.25">
      <c r="B902" s="12"/>
      <c r="C902" s="13"/>
      <c r="D902" s="12"/>
      <c r="E902" s="14"/>
      <c r="F902" s="81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</row>
    <row r="903" spans="2:18" ht="18" customHeight="1" x14ac:dyDescent="0.25">
      <c r="B903" s="12"/>
      <c r="C903" s="13"/>
      <c r="D903" s="12"/>
      <c r="E903" s="14"/>
      <c r="F903" s="81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</row>
    <row r="904" spans="2:18" ht="18" customHeight="1" x14ac:dyDescent="0.25">
      <c r="B904" s="12"/>
      <c r="C904" s="13"/>
      <c r="D904" s="12"/>
      <c r="E904" s="14"/>
      <c r="F904" s="81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</row>
    <row r="905" spans="2:18" ht="18" customHeight="1" x14ac:dyDescent="0.25">
      <c r="B905" s="12"/>
      <c r="C905" s="13"/>
      <c r="D905" s="12"/>
      <c r="E905" s="14"/>
      <c r="F905" s="81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</row>
    <row r="906" spans="2:18" ht="18" customHeight="1" x14ac:dyDescent="0.25">
      <c r="B906" s="12"/>
      <c r="C906" s="13"/>
      <c r="D906" s="12"/>
      <c r="E906" s="14"/>
      <c r="F906" s="81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</row>
    <row r="907" spans="2:18" ht="18" customHeight="1" x14ac:dyDescent="0.25">
      <c r="B907" s="12"/>
      <c r="C907" s="13"/>
      <c r="D907" s="12"/>
      <c r="E907" s="14"/>
      <c r="F907" s="81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 spans="2:18" ht="18" customHeight="1" x14ac:dyDescent="0.25">
      <c r="B908" s="12"/>
      <c r="C908" s="13"/>
      <c r="D908" s="12"/>
      <c r="E908" s="14"/>
      <c r="F908" s="81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</row>
    <row r="909" spans="2:18" ht="18" customHeight="1" x14ac:dyDescent="0.25">
      <c r="B909" s="12"/>
      <c r="C909" s="13"/>
      <c r="D909" s="12"/>
      <c r="E909" s="14"/>
      <c r="F909" s="81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</row>
    <row r="910" spans="2:18" ht="18" customHeight="1" x14ac:dyDescent="0.25">
      <c r="B910" s="12"/>
      <c r="C910" s="13"/>
      <c r="D910" s="12"/>
      <c r="E910" s="14"/>
      <c r="F910" s="81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</row>
    <row r="911" spans="2:18" ht="18" customHeight="1" x14ac:dyDescent="0.25">
      <c r="B911" s="12"/>
      <c r="C911" s="13"/>
      <c r="D911" s="12"/>
      <c r="E911" s="14"/>
      <c r="F911" s="81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</row>
    <row r="912" spans="2:18" ht="18" customHeight="1" x14ac:dyDescent="0.25">
      <c r="B912" s="12"/>
      <c r="C912" s="13"/>
      <c r="D912" s="12"/>
      <c r="E912" s="14"/>
      <c r="F912" s="81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</row>
    <row r="913" spans="2:18" ht="18" customHeight="1" x14ac:dyDescent="0.25">
      <c r="B913" s="12"/>
      <c r="C913" s="13"/>
      <c r="D913" s="12"/>
      <c r="E913" s="14"/>
      <c r="F913" s="81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 spans="2:18" ht="18" customHeight="1" x14ac:dyDescent="0.25">
      <c r="B914" s="12"/>
      <c r="C914" s="13"/>
      <c r="D914" s="12"/>
      <c r="E914" s="14"/>
      <c r="F914" s="81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</row>
    <row r="915" spans="2:18" ht="18" customHeight="1" x14ac:dyDescent="0.25">
      <c r="B915" s="12"/>
      <c r="C915" s="13"/>
      <c r="D915" s="12"/>
      <c r="E915" s="14"/>
      <c r="F915" s="81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</row>
    <row r="916" spans="2:18" ht="18" customHeight="1" x14ac:dyDescent="0.25">
      <c r="B916" s="12"/>
      <c r="C916" s="13"/>
      <c r="D916" s="12"/>
      <c r="E916" s="14"/>
      <c r="F916" s="81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</row>
    <row r="917" spans="2:18" ht="18" customHeight="1" x14ac:dyDescent="0.25">
      <c r="B917" s="12"/>
      <c r="C917" s="13"/>
      <c r="D917" s="12"/>
      <c r="E917" s="14"/>
      <c r="F917" s="81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 spans="2:18" ht="18" customHeight="1" x14ac:dyDescent="0.25">
      <c r="B918" s="12"/>
      <c r="C918" s="13"/>
      <c r="D918" s="12"/>
      <c r="E918" s="14"/>
      <c r="F918" s="81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 spans="2:18" ht="18" customHeight="1" x14ac:dyDescent="0.25">
      <c r="B919" s="12"/>
      <c r="C919" s="13"/>
      <c r="D919" s="12"/>
      <c r="E919" s="14"/>
      <c r="F919" s="81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</row>
    <row r="920" spans="2:18" ht="18" customHeight="1" x14ac:dyDescent="0.25">
      <c r="B920" s="12"/>
      <c r="C920" s="13"/>
      <c r="D920" s="12"/>
      <c r="E920" s="14"/>
      <c r="F920" s="81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</row>
    <row r="921" spans="2:18" ht="18" customHeight="1" x14ac:dyDescent="0.25">
      <c r="B921" s="12"/>
      <c r="C921" s="13"/>
      <c r="D921" s="12"/>
      <c r="E921" s="14"/>
      <c r="F921" s="81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</row>
    <row r="922" spans="2:18" ht="18" customHeight="1" x14ac:dyDescent="0.25">
      <c r="B922" s="12"/>
      <c r="C922" s="13"/>
      <c r="D922" s="12"/>
      <c r="E922" s="14"/>
      <c r="F922" s="81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</row>
    <row r="923" spans="2:18" ht="18" customHeight="1" x14ac:dyDescent="0.25">
      <c r="B923" s="12"/>
      <c r="C923" s="13"/>
      <c r="D923" s="12"/>
      <c r="E923" s="14"/>
      <c r="F923" s="81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</row>
    <row r="924" spans="2:18" ht="18" customHeight="1" x14ac:dyDescent="0.25">
      <c r="B924" s="12"/>
      <c r="C924" s="13"/>
      <c r="D924" s="12"/>
      <c r="E924" s="14"/>
      <c r="F924" s="81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</row>
    <row r="925" spans="2:18" ht="18" customHeight="1" x14ac:dyDescent="0.25">
      <c r="B925" s="12"/>
      <c r="C925" s="13"/>
      <c r="D925" s="12"/>
      <c r="E925" s="14"/>
      <c r="F925" s="81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</row>
    <row r="926" spans="2:18" ht="18" customHeight="1" x14ac:dyDescent="0.25">
      <c r="B926" s="12"/>
      <c r="C926" s="13"/>
      <c r="D926" s="12"/>
      <c r="E926" s="14"/>
      <c r="F926" s="81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</row>
    <row r="927" spans="2:18" ht="18" customHeight="1" x14ac:dyDescent="0.25">
      <c r="B927" s="12"/>
      <c r="C927" s="13"/>
      <c r="D927" s="12"/>
      <c r="E927" s="14"/>
      <c r="F927" s="81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</row>
    <row r="928" spans="2:18" ht="18" customHeight="1" x14ac:dyDescent="0.25">
      <c r="B928" s="12"/>
      <c r="C928" s="13"/>
      <c r="D928" s="12"/>
      <c r="E928" s="14"/>
      <c r="F928" s="81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 spans="2:18" ht="18" customHeight="1" x14ac:dyDescent="0.25">
      <c r="B929" s="12"/>
      <c r="C929" s="13"/>
      <c r="D929" s="12"/>
      <c r="E929" s="14"/>
      <c r="F929" s="81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</row>
    <row r="930" spans="2:18" ht="18" customHeight="1" x14ac:dyDescent="0.25">
      <c r="B930" s="12"/>
      <c r="C930" s="13"/>
      <c r="D930" s="12"/>
      <c r="E930" s="14"/>
      <c r="F930" s="81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</row>
    <row r="931" spans="2:18" ht="18" customHeight="1" x14ac:dyDescent="0.25">
      <c r="B931" s="12"/>
      <c r="C931" s="13"/>
      <c r="D931" s="12"/>
      <c r="E931" s="14"/>
      <c r="F931" s="81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</row>
    <row r="932" spans="2:18" ht="18" customHeight="1" x14ac:dyDescent="0.25">
      <c r="B932" s="12"/>
      <c r="C932" s="13"/>
      <c r="D932" s="12"/>
      <c r="E932" s="14"/>
      <c r="F932" s="81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</row>
    <row r="933" spans="2:18" ht="18" customHeight="1" x14ac:dyDescent="0.25">
      <c r="B933" s="12"/>
      <c r="C933" s="13"/>
      <c r="D933" s="12"/>
      <c r="E933" s="14"/>
      <c r="F933" s="81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</row>
    <row r="934" spans="2:18" ht="18" customHeight="1" x14ac:dyDescent="0.25">
      <c r="B934" s="12"/>
      <c r="C934" s="13"/>
      <c r="D934" s="12"/>
      <c r="E934" s="14"/>
      <c r="F934" s="81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</row>
    <row r="935" spans="2:18" ht="18" customHeight="1" x14ac:dyDescent="0.25">
      <c r="B935" s="12"/>
      <c r="C935" s="13"/>
      <c r="D935" s="12"/>
      <c r="E935" s="14"/>
      <c r="F935" s="81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</row>
    <row r="936" spans="2:18" ht="18" customHeight="1" x14ac:dyDescent="0.25">
      <c r="B936" s="12"/>
      <c r="C936" s="13"/>
      <c r="D936" s="12"/>
      <c r="E936" s="14"/>
      <c r="F936" s="81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</row>
    <row r="937" spans="2:18" ht="18" customHeight="1" x14ac:dyDescent="0.25">
      <c r="B937" s="12"/>
      <c r="C937" s="13"/>
      <c r="D937" s="12"/>
      <c r="E937" s="14"/>
      <c r="F937" s="81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</row>
    <row r="938" spans="2:18" ht="18" customHeight="1" x14ac:dyDescent="0.25">
      <c r="B938" s="12"/>
      <c r="C938" s="13"/>
      <c r="D938" s="12"/>
      <c r="E938" s="14"/>
      <c r="F938" s="81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spans="2:18" ht="18" customHeight="1" x14ac:dyDescent="0.25">
      <c r="B939" s="12"/>
      <c r="C939" s="13"/>
      <c r="D939" s="12"/>
      <c r="E939" s="14"/>
      <c r="F939" s="81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</row>
    <row r="940" spans="2:18" ht="18" customHeight="1" x14ac:dyDescent="0.25">
      <c r="B940" s="12"/>
      <c r="C940" s="13"/>
      <c r="D940" s="12"/>
      <c r="E940" s="14"/>
      <c r="F940" s="81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</row>
    <row r="941" spans="2:18" ht="18" customHeight="1" x14ac:dyDescent="0.25">
      <c r="B941" s="12"/>
      <c r="C941" s="13"/>
      <c r="D941" s="12"/>
      <c r="E941" s="14"/>
      <c r="F941" s="81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</row>
    <row r="942" spans="2:18" ht="18" customHeight="1" x14ac:dyDescent="0.25">
      <c r="B942" s="12"/>
      <c r="C942" s="13"/>
      <c r="D942" s="12"/>
      <c r="E942" s="14"/>
      <c r="F942" s="81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</row>
    <row r="943" spans="2:18" ht="18" customHeight="1" x14ac:dyDescent="0.25">
      <c r="B943" s="12"/>
      <c r="C943" s="13"/>
      <c r="D943" s="12"/>
      <c r="E943" s="14"/>
      <c r="F943" s="81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</row>
    <row r="944" spans="2:18" ht="18" customHeight="1" x14ac:dyDescent="0.25">
      <c r="B944" s="12"/>
      <c r="C944" s="13"/>
      <c r="D944" s="12"/>
      <c r="E944" s="14"/>
      <c r="F944" s="81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</row>
    <row r="945" spans="2:18" ht="18" customHeight="1" x14ac:dyDescent="0.25">
      <c r="B945" s="12"/>
      <c r="C945" s="13"/>
      <c r="D945" s="12"/>
      <c r="E945" s="14"/>
      <c r="F945" s="81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</row>
    <row r="946" spans="2:18" ht="18" customHeight="1" x14ac:dyDescent="0.25">
      <c r="B946" s="12"/>
      <c r="C946" s="13"/>
      <c r="D946" s="12"/>
      <c r="E946" s="14"/>
      <c r="F946" s="81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</row>
    <row r="947" spans="2:18" ht="18" customHeight="1" x14ac:dyDescent="0.25">
      <c r="B947" s="12"/>
      <c r="C947" s="13"/>
      <c r="D947" s="12"/>
      <c r="E947" s="14"/>
      <c r="F947" s="81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</row>
    <row r="948" spans="2:18" ht="18" customHeight="1" x14ac:dyDescent="0.25">
      <c r="B948" s="12"/>
      <c r="C948" s="13"/>
      <c r="D948" s="12"/>
      <c r="E948" s="14"/>
      <c r="F948" s="81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 spans="2:18" ht="18" customHeight="1" x14ac:dyDescent="0.25">
      <c r="B949" s="12"/>
      <c r="C949" s="13"/>
      <c r="D949" s="12"/>
      <c r="E949" s="14"/>
      <c r="F949" s="81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</row>
    <row r="950" spans="2:18" ht="18" customHeight="1" x14ac:dyDescent="0.25">
      <c r="B950" s="12"/>
      <c r="C950" s="13"/>
      <c r="D950" s="12"/>
      <c r="E950" s="14"/>
      <c r="F950" s="81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</row>
    <row r="951" spans="2:18" ht="18" customHeight="1" x14ac:dyDescent="0.25">
      <c r="B951" s="12"/>
      <c r="C951" s="13"/>
      <c r="D951" s="12"/>
      <c r="E951" s="14"/>
      <c r="F951" s="81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</row>
    <row r="952" spans="2:18" ht="18" customHeight="1" x14ac:dyDescent="0.25">
      <c r="B952" s="12"/>
      <c r="C952" s="13"/>
      <c r="D952" s="12"/>
      <c r="E952" s="14"/>
      <c r="F952" s="81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</row>
    <row r="953" spans="2:18" ht="18" customHeight="1" x14ac:dyDescent="0.25">
      <c r="B953" s="12"/>
      <c r="C953" s="13"/>
      <c r="D953" s="12"/>
      <c r="E953" s="14"/>
      <c r="F953" s="81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</row>
    <row r="954" spans="2:18" ht="18" customHeight="1" x14ac:dyDescent="0.25">
      <c r="B954" s="12"/>
      <c r="C954" s="13"/>
      <c r="D954" s="12"/>
      <c r="E954" s="14"/>
      <c r="F954" s="81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</row>
    <row r="955" spans="2:18" ht="18" customHeight="1" x14ac:dyDescent="0.25">
      <c r="B955" s="12"/>
      <c r="C955" s="13"/>
      <c r="D955" s="12"/>
      <c r="E955" s="14"/>
      <c r="F955" s="81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</row>
    <row r="956" spans="2:18" ht="18" customHeight="1" x14ac:dyDescent="0.25">
      <c r="B956" s="12"/>
      <c r="C956" s="13"/>
      <c r="D956" s="12"/>
      <c r="E956" s="14"/>
      <c r="F956" s="81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</row>
    <row r="957" spans="2:18" ht="18" customHeight="1" x14ac:dyDescent="0.25">
      <c r="B957" s="12"/>
      <c r="C957" s="13"/>
      <c r="D957" s="12"/>
      <c r="E957" s="14"/>
      <c r="F957" s="81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</row>
    <row r="958" spans="2:18" ht="18" customHeight="1" x14ac:dyDescent="0.25">
      <c r="B958" s="12"/>
      <c r="C958" s="13"/>
      <c r="D958" s="12"/>
      <c r="E958" s="14"/>
      <c r="F958" s="81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</row>
    <row r="959" spans="2:18" ht="18" customHeight="1" x14ac:dyDescent="0.25">
      <c r="B959" s="12"/>
      <c r="C959" s="13"/>
      <c r="D959" s="12"/>
      <c r="E959" s="14"/>
      <c r="F959" s="81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 spans="2:18" ht="18" customHeight="1" x14ac:dyDescent="0.25">
      <c r="B960" s="12"/>
      <c r="C960" s="13"/>
      <c r="D960" s="12"/>
      <c r="E960" s="14"/>
      <c r="F960" s="81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 spans="2:18" ht="18" customHeight="1" x14ac:dyDescent="0.25">
      <c r="B961" s="12"/>
      <c r="C961" s="13"/>
      <c r="D961" s="12"/>
      <c r="E961" s="14"/>
      <c r="F961" s="81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 spans="2:18" ht="18" customHeight="1" x14ac:dyDescent="0.25">
      <c r="B962" s="12"/>
      <c r="C962" s="13"/>
      <c r="D962" s="12"/>
      <c r="E962" s="14"/>
      <c r="F962" s="81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 spans="2:18" ht="18" customHeight="1" x14ac:dyDescent="0.25">
      <c r="B963" s="12"/>
      <c r="C963" s="13"/>
      <c r="D963" s="12"/>
      <c r="E963" s="14"/>
      <c r="F963" s="81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</sheetData>
  <mergeCells count="3">
    <mergeCell ref="B4:F4"/>
    <mergeCell ref="B5:F5"/>
    <mergeCell ref="B3:F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68A9-38CE-4E26-8169-0148E16C8E00}">
  <sheetPr>
    <tabColor theme="2"/>
  </sheetPr>
  <dimension ref="A1:G31"/>
  <sheetViews>
    <sheetView workbookViewId="0">
      <selection activeCell="D37" sqref="D37"/>
    </sheetView>
  </sheetViews>
  <sheetFormatPr defaultRowHeight="12.75" x14ac:dyDescent="0.2"/>
  <cols>
    <col min="1" max="3" width="2.85546875" style="26" customWidth="1"/>
    <col min="4" max="4" width="41.42578125" style="27" customWidth="1"/>
    <col min="5" max="6" width="9.85546875" style="28" customWidth="1"/>
    <col min="7" max="7" width="19.7109375" style="28" customWidth="1"/>
    <col min="8" max="9" width="9.85546875" style="28" customWidth="1"/>
    <col min="10" max="258" width="9.140625" style="28"/>
    <col min="259" max="259" width="2.85546875" style="28" customWidth="1"/>
    <col min="260" max="260" width="41.42578125" style="28" customWidth="1"/>
    <col min="261" max="262" width="9.85546875" style="28" customWidth="1"/>
    <col min="263" max="263" width="19.7109375" style="28" customWidth="1"/>
    <col min="264" max="265" width="9.85546875" style="28" customWidth="1"/>
    <col min="266" max="514" width="9.140625" style="28"/>
    <col min="515" max="515" width="2.85546875" style="28" customWidth="1"/>
    <col min="516" max="516" width="41.42578125" style="28" customWidth="1"/>
    <col min="517" max="518" width="9.85546875" style="28" customWidth="1"/>
    <col min="519" max="519" width="19.7109375" style="28" customWidth="1"/>
    <col min="520" max="521" width="9.85546875" style="28" customWidth="1"/>
    <col min="522" max="770" width="9.140625" style="28"/>
    <col min="771" max="771" width="2.85546875" style="28" customWidth="1"/>
    <col min="772" max="772" width="41.42578125" style="28" customWidth="1"/>
    <col min="773" max="774" width="9.85546875" style="28" customWidth="1"/>
    <col min="775" max="775" width="19.7109375" style="28" customWidth="1"/>
    <col min="776" max="777" width="9.85546875" style="28" customWidth="1"/>
    <col min="778" max="1026" width="9.140625" style="28"/>
    <col min="1027" max="1027" width="2.85546875" style="28" customWidth="1"/>
    <col min="1028" max="1028" width="41.42578125" style="28" customWidth="1"/>
    <col min="1029" max="1030" width="9.85546875" style="28" customWidth="1"/>
    <col min="1031" max="1031" width="19.7109375" style="28" customWidth="1"/>
    <col min="1032" max="1033" width="9.85546875" style="28" customWidth="1"/>
    <col min="1034" max="1282" width="9.140625" style="28"/>
    <col min="1283" max="1283" width="2.85546875" style="28" customWidth="1"/>
    <col min="1284" max="1284" width="41.42578125" style="28" customWidth="1"/>
    <col min="1285" max="1286" width="9.85546875" style="28" customWidth="1"/>
    <col min="1287" max="1287" width="19.7109375" style="28" customWidth="1"/>
    <col min="1288" max="1289" width="9.85546875" style="28" customWidth="1"/>
    <col min="1290" max="1538" width="9.140625" style="28"/>
    <col min="1539" max="1539" width="2.85546875" style="28" customWidth="1"/>
    <col min="1540" max="1540" width="41.42578125" style="28" customWidth="1"/>
    <col min="1541" max="1542" width="9.85546875" style="28" customWidth="1"/>
    <col min="1543" max="1543" width="19.7109375" style="28" customWidth="1"/>
    <col min="1544" max="1545" width="9.85546875" style="28" customWidth="1"/>
    <col min="1546" max="1794" width="9.140625" style="28"/>
    <col min="1795" max="1795" width="2.85546875" style="28" customWidth="1"/>
    <col min="1796" max="1796" width="41.42578125" style="28" customWidth="1"/>
    <col min="1797" max="1798" width="9.85546875" style="28" customWidth="1"/>
    <col min="1799" max="1799" width="19.7109375" style="28" customWidth="1"/>
    <col min="1800" max="1801" width="9.85546875" style="28" customWidth="1"/>
    <col min="1802" max="2050" width="9.140625" style="28"/>
    <col min="2051" max="2051" width="2.85546875" style="28" customWidth="1"/>
    <col min="2052" max="2052" width="41.42578125" style="28" customWidth="1"/>
    <col min="2053" max="2054" width="9.85546875" style="28" customWidth="1"/>
    <col min="2055" max="2055" width="19.7109375" style="28" customWidth="1"/>
    <col min="2056" max="2057" width="9.85546875" style="28" customWidth="1"/>
    <col min="2058" max="2306" width="9.140625" style="28"/>
    <col min="2307" max="2307" width="2.85546875" style="28" customWidth="1"/>
    <col min="2308" max="2308" width="41.42578125" style="28" customWidth="1"/>
    <col min="2309" max="2310" width="9.85546875" style="28" customWidth="1"/>
    <col min="2311" max="2311" width="19.7109375" style="28" customWidth="1"/>
    <col min="2312" max="2313" width="9.85546875" style="28" customWidth="1"/>
    <col min="2314" max="2562" width="9.140625" style="28"/>
    <col min="2563" max="2563" width="2.85546875" style="28" customWidth="1"/>
    <col min="2564" max="2564" width="41.42578125" style="28" customWidth="1"/>
    <col min="2565" max="2566" width="9.85546875" style="28" customWidth="1"/>
    <col min="2567" max="2567" width="19.7109375" style="28" customWidth="1"/>
    <col min="2568" max="2569" width="9.85546875" style="28" customWidth="1"/>
    <col min="2570" max="2818" width="9.140625" style="28"/>
    <col min="2819" max="2819" width="2.85546875" style="28" customWidth="1"/>
    <col min="2820" max="2820" width="41.42578125" style="28" customWidth="1"/>
    <col min="2821" max="2822" width="9.85546875" style="28" customWidth="1"/>
    <col min="2823" max="2823" width="19.7109375" style="28" customWidth="1"/>
    <col min="2824" max="2825" width="9.85546875" style="28" customWidth="1"/>
    <col min="2826" max="3074" width="9.140625" style="28"/>
    <col min="3075" max="3075" width="2.85546875" style="28" customWidth="1"/>
    <col min="3076" max="3076" width="41.42578125" style="28" customWidth="1"/>
    <col min="3077" max="3078" width="9.85546875" style="28" customWidth="1"/>
    <col min="3079" max="3079" width="19.7109375" style="28" customWidth="1"/>
    <col min="3080" max="3081" width="9.85546875" style="28" customWidth="1"/>
    <col min="3082" max="3330" width="9.140625" style="28"/>
    <col min="3331" max="3331" width="2.85546875" style="28" customWidth="1"/>
    <col min="3332" max="3332" width="41.42578125" style="28" customWidth="1"/>
    <col min="3333" max="3334" width="9.85546875" style="28" customWidth="1"/>
    <col min="3335" max="3335" width="19.7109375" style="28" customWidth="1"/>
    <col min="3336" max="3337" width="9.85546875" style="28" customWidth="1"/>
    <col min="3338" max="3586" width="9.140625" style="28"/>
    <col min="3587" max="3587" width="2.85546875" style="28" customWidth="1"/>
    <col min="3588" max="3588" width="41.42578125" style="28" customWidth="1"/>
    <col min="3589" max="3590" width="9.85546875" style="28" customWidth="1"/>
    <col min="3591" max="3591" width="19.7109375" style="28" customWidth="1"/>
    <col min="3592" max="3593" width="9.85546875" style="28" customWidth="1"/>
    <col min="3594" max="3842" width="9.140625" style="28"/>
    <col min="3843" max="3843" width="2.85546875" style="28" customWidth="1"/>
    <col min="3844" max="3844" width="41.42578125" style="28" customWidth="1"/>
    <col min="3845" max="3846" width="9.85546875" style="28" customWidth="1"/>
    <col min="3847" max="3847" width="19.7109375" style="28" customWidth="1"/>
    <col min="3848" max="3849" width="9.85546875" style="28" customWidth="1"/>
    <col min="3850" max="4098" width="9.140625" style="28"/>
    <col min="4099" max="4099" width="2.85546875" style="28" customWidth="1"/>
    <col min="4100" max="4100" width="41.42578125" style="28" customWidth="1"/>
    <col min="4101" max="4102" width="9.85546875" style="28" customWidth="1"/>
    <col min="4103" max="4103" width="19.7109375" style="28" customWidth="1"/>
    <col min="4104" max="4105" width="9.85546875" style="28" customWidth="1"/>
    <col min="4106" max="4354" width="9.140625" style="28"/>
    <col min="4355" max="4355" width="2.85546875" style="28" customWidth="1"/>
    <col min="4356" max="4356" width="41.42578125" style="28" customWidth="1"/>
    <col min="4357" max="4358" width="9.85546875" style="28" customWidth="1"/>
    <col min="4359" max="4359" width="19.7109375" style="28" customWidth="1"/>
    <col min="4360" max="4361" width="9.85546875" style="28" customWidth="1"/>
    <col min="4362" max="4610" width="9.140625" style="28"/>
    <col min="4611" max="4611" width="2.85546875" style="28" customWidth="1"/>
    <col min="4612" max="4612" width="41.42578125" style="28" customWidth="1"/>
    <col min="4613" max="4614" width="9.85546875" style="28" customWidth="1"/>
    <col min="4615" max="4615" width="19.7109375" style="28" customWidth="1"/>
    <col min="4616" max="4617" width="9.85546875" style="28" customWidth="1"/>
    <col min="4618" max="4866" width="9.140625" style="28"/>
    <col min="4867" max="4867" width="2.85546875" style="28" customWidth="1"/>
    <col min="4868" max="4868" width="41.42578125" style="28" customWidth="1"/>
    <col min="4869" max="4870" width="9.85546875" style="28" customWidth="1"/>
    <col min="4871" max="4871" width="19.7109375" style="28" customWidth="1"/>
    <col min="4872" max="4873" width="9.85546875" style="28" customWidth="1"/>
    <col min="4874" max="5122" width="9.140625" style="28"/>
    <col min="5123" max="5123" width="2.85546875" style="28" customWidth="1"/>
    <col min="5124" max="5124" width="41.42578125" style="28" customWidth="1"/>
    <col min="5125" max="5126" width="9.85546875" style="28" customWidth="1"/>
    <col min="5127" max="5127" width="19.7109375" style="28" customWidth="1"/>
    <col min="5128" max="5129" width="9.85546875" style="28" customWidth="1"/>
    <col min="5130" max="5378" width="9.140625" style="28"/>
    <col min="5379" max="5379" width="2.85546875" style="28" customWidth="1"/>
    <col min="5380" max="5380" width="41.42578125" style="28" customWidth="1"/>
    <col min="5381" max="5382" width="9.85546875" style="28" customWidth="1"/>
    <col min="5383" max="5383" width="19.7109375" style="28" customWidth="1"/>
    <col min="5384" max="5385" width="9.85546875" style="28" customWidth="1"/>
    <col min="5386" max="5634" width="9.140625" style="28"/>
    <col min="5635" max="5635" width="2.85546875" style="28" customWidth="1"/>
    <col min="5636" max="5636" width="41.42578125" style="28" customWidth="1"/>
    <col min="5637" max="5638" width="9.85546875" style="28" customWidth="1"/>
    <col min="5639" max="5639" width="19.7109375" style="28" customWidth="1"/>
    <col min="5640" max="5641" width="9.85546875" style="28" customWidth="1"/>
    <col min="5642" max="5890" width="9.140625" style="28"/>
    <col min="5891" max="5891" width="2.85546875" style="28" customWidth="1"/>
    <col min="5892" max="5892" width="41.42578125" style="28" customWidth="1"/>
    <col min="5893" max="5894" width="9.85546875" style="28" customWidth="1"/>
    <col min="5895" max="5895" width="19.7109375" style="28" customWidth="1"/>
    <col min="5896" max="5897" width="9.85546875" style="28" customWidth="1"/>
    <col min="5898" max="6146" width="9.140625" style="28"/>
    <col min="6147" max="6147" width="2.85546875" style="28" customWidth="1"/>
    <col min="6148" max="6148" width="41.42578125" style="28" customWidth="1"/>
    <col min="6149" max="6150" width="9.85546875" style="28" customWidth="1"/>
    <col min="6151" max="6151" width="19.7109375" style="28" customWidth="1"/>
    <col min="6152" max="6153" width="9.85546875" style="28" customWidth="1"/>
    <col min="6154" max="6402" width="9.140625" style="28"/>
    <col min="6403" max="6403" width="2.85546875" style="28" customWidth="1"/>
    <col min="6404" max="6404" width="41.42578125" style="28" customWidth="1"/>
    <col min="6405" max="6406" width="9.85546875" style="28" customWidth="1"/>
    <col min="6407" max="6407" width="19.7109375" style="28" customWidth="1"/>
    <col min="6408" max="6409" width="9.85546875" style="28" customWidth="1"/>
    <col min="6410" max="6658" width="9.140625" style="28"/>
    <col min="6659" max="6659" width="2.85546875" style="28" customWidth="1"/>
    <col min="6660" max="6660" width="41.42578125" style="28" customWidth="1"/>
    <col min="6661" max="6662" width="9.85546875" style="28" customWidth="1"/>
    <col min="6663" max="6663" width="19.7109375" style="28" customWidth="1"/>
    <col min="6664" max="6665" width="9.85546875" style="28" customWidth="1"/>
    <col min="6666" max="6914" width="9.140625" style="28"/>
    <col min="6915" max="6915" width="2.85546875" style="28" customWidth="1"/>
    <col min="6916" max="6916" width="41.42578125" style="28" customWidth="1"/>
    <col min="6917" max="6918" width="9.85546875" style="28" customWidth="1"/>
    <col min="6919" max="6919" width="19.7109375" style="28" customWidth="1"/>
    <col min="6920" max="6921" width="9.85546875" style="28" customWidth="1"/>
    <col min="6922" max="7170" width="9.140625" style="28"/>
    <col min="7171" max="7171" width="2.85546875" style="28" customWidth="1"/>
    <col min="7172" max="7172" width="41.42578125" style="28" customWidth="1"/>
    <col min="7173" max="7174" width="9.85546875" style="28" customWidth="1"/>
    <col min="7175" max="7175" width="19.7109375" style="28" customWidth="1"/>
    <col min="7176" max="7177" width="9.85546875" style="28" customWidth="1"/>
    <col min="7178" max="7426" width="9.140625" style="28"/>
    <col min="7427" max="7427" width="2.85546875" style="28" customWidth="1"/>
    <col min="7428" max="7428" width="41.42578125" style="28" customWidth="1"/>
    <col min="7429" max="7430" width="9.85546875" style="28" customWidth="1"/>
    <col min="7431" max="7431" width="19.7109375" style="28" customWidth="1"/>
    <col min="7432" max="7433" width="9.85546875" style="28" customWidth="1"/>
    <col min="7434" max="7682" width="9.140625" style="28"/>
    <col min="7683" max="7683" width="2.85546875" style="28" customWidth="1"/>
    <col min="7684" max="7684" width="41.42578125" style="28" customWidth="1"/>
    <col min="7685" max="7686" width="9.85546875" style="28" customWidth="1"/>
    <col min="7687" max="7687" width="19.7109375" style="28" customWidth="1"/>
    <col min="7688" max="7689" width="9.85546875" style="28" customWidth="1"/>
    <col min="7690" max="7938" width="9.140625" style="28"/>
    <col min="7939" max="7939" width="2.85546875" style="28" customWidth="1"/>
    <col min="7940" max="7940" width="41.42578125" style="28" customWidth="1"/>
    <col min="7941" max="7942" width="9.85546875" style="28" customWidth="1"/>
    <col min="7943" max="7943" width="19.7109375" style="28" customWidth="1"/>
    <col min="7944" max="7945" width="9.85546875" style="28" customWidth="1"/>
    <col min="7946" max="8194" width="9.140625" style="28"/>
    <col min="8195" max="8195" width="2.85546875" style="28" customWidth="1"/>
    <col min="8196" max="8196" width="41.42578125" style="28" customWidth="1"/>
    <col min="8197" max="8198" width="9.85546875" style="28" customWidth="1"/>
    <col min="8199" max="8199" width="19.7109375" style="28" customWidth="1"/>
    <col min="8200" max="8201" width="9.85546875" style="28" customWidth="1"/>
    <col min="8202" max="8450" width="9.140625" style="28"/>
    <col min="8451" max="8451" width="2.85546875" style="28" customWidth="1"/>
    <col min="8452" max="8452" width="41.42578125" style="28" customWidth="1"/>
    <col min="8453" max="8454" width="9.85546875" style="28" customWidth="1"/>
    <col min="8455" max="8455" width="19.7109375" style="28" customWidth="1"/>
    <col min="8456" max="8457" width="9.85546875" style="28" customWidth="1"/>
    <col min="8458" max="8706" width="9.140625" style="28"/>
    <col min="8707" max="8707" width="2.85546875" style="28" customWidth="1"/>
    <col min="8708" max="8708" width="41.42578125" style="28" customWidth="1"/>
    <col min="8709" max="8710" width="9.85546875" style="28" customWidth="1"/>
    <col min="8711" max="8711" width="19.7109375" style="28" customWidth="1"/>
    <col min="8712" max="8713" width="9.85546875" style="28" customWidth="1"/>
    <col min="8714" max="8962" width="9.140625" style="28"/>
    <col min="8963" max="8963" width="2.85546875" style="28" customWidth="1"/>
    <col min="8964" max="8964" width="41.42578125" style="28" customWidth="1"/>
    <col min="8965" max="8966" width="9.85546875" style="28" customWidth="1"/>
    <col min="8967" max="8967" width="19.7109375" style="28" customWidth="1"/>
    <col min="8968" max="8969" width="9.85546875" style="28" customWidth="1"/>
    <col min="8970" max="9218" width="9.140625" style="28"/>
    <col min="9219" max="9219" width="2.85546875" style="28" customWidth="1"/>
    <col min="9220" max="9220" width="41.42578125" style="28" customWidth="1"/>
    <col min="9221" max="9222" width="9.85546875" style="28" customWidth="1"/>
    <col min="9223" max="9223" width="19.7109375" style="28" customWidth="1"/>
    <col min="9224" max="9225" width="9.85546875" style="28" customWidth="1"/>
    <col min="9226" max="9474" width="9.140625" style="28"/>
    <col min="9475" max="9475" width="2.85546875" style="28" customWidth="1"/>
    <col min="9476" max="9476" width="41.42578125" style="28" customWidth="1"/>
    <col min="9477" max="9478" width="9.85546875" style="28" customWidth="1"/>
    <col min="9479" max="9479" width="19.7109375" style="28" customWidth="1"/>
    <col min="9480" max="9481" width="9.85546875" style="28" customWidth="1"/>
    <col min="9482" max="9730" width="9.140625" style="28"/>
    <col min="9731" max="9731" width="2.85546875" style="28" customWidth="1"/>
    <col min="9732" max="9732" width="41.42578125" style="28" customWidth="1"/>
    <col min="9733" max="9734" width="9.85546875" style="28" customWidth="1"/>
    <col min="9735" max="9735" width="19.7109375" style="28" customWidth="1"/>
    <col min="9736" max="9737" width="9.85546875" style="28" customWidth="1"/>
    <col min="9738" max="9986" width="9.140625" style="28"/>
    <col min="9987" max="9987" width="2.85546875" style="28" customWidth="1"/>
    <col min="9988" max="9988" width="41.42578125" style="28" customWidth="1"/>
    <col min="9989" max="9990" width="9.85546875" style="28" customWidth="1"/>
    <col min="9991" max="9991" width="19.7109375" style="28" customWidth="1"/>
    <col min="9992" max="9993" width="9.85546875" style="28" customWidth="1"/>
    <col min="9994" max="10242" width="9.140625" style="28"/>
    <col min="10243" max="10243" width="2.85546875" style="28" customWidth="1"/>
    <col min="10244" max="10244" width="41.42578125" style="28" customWidth="1"/>
    <col min="10245" max="10246" width="9.85546875" style="28" customWidth="1"/>
    <col min="10247" max="10247" width="19.7109375" style="28" customWidth="1"/>
    <col min="10248" max="10249" width="9.85546875" style="28" customWidth="1"/>
    <col min="10250" max="10498" width="9.140625" style="28"/>
    <col min="10499" max="10499" width="2.85546875" style="28" customWidth="1"/>
    <col min="10500" max="10500" width="41.42578125" style="28" customWidth="1"/>
    <col min="10501" max="10502" width="9.85546875" style="28" customWidth="1"/>
    <col min="10503" max="10503" width="19.7109375" style="28" customWidth="1"/>
    <col min="10504" max="10505" width="9.85546875" style="28" customWidth="1"/>
    <col min="10506" max="10754" width="9.140625" style="28"/>
    <col min="10755" max="10755" width="2.85546875" style="28" customWidth="1"/>
    <col min="10756" max="10756" width="41.42578125" style="28" customWidth="1"/>
    <col min="10757" max="10758" width="9.85546875" style="28" customWidth="1"/>
    <col min="10759" max="10759" width="19.7109375" style="28" customWidth="1"/>
    <col min="10760" max="10761" width="9.85546875" style="28" customWidth="1"/>
    <col min="10762" max="11010" width="9.140625" style="28"/>
    <col min="11011" max="11011" width="2.85546875" style="28" customWidth="1"/>
    <col min="11012" max="11012" width="41.42578125" style="28" customWidth="1"/>
    <col min="11013" max="11014" width="9.85546875" style="28" customWidth="1"/>
    <col min="11015" max="11015" width="19.7109375" style="28" customWidth="1"/>
    <col min="11016" max="11017" width="9.85546875" style="28" customWidth="1"/>
    <col min="11018" max="11266" width="9.140625" style="28"/>
    <col min="11267" max="11267" width="2.85546875" style="28" customWidth="1"/>
    <col min="11268" max="11268" width="41.42578125" style="28" customWidth="1"/>
    <col min="11269" max="11270" width="9.85546875" style="28" customWidth="1"/>
    <col min="11271" max="11271" width="19.7109375" style="28" customWidth="1"/>
    <col min="11272" max="11273" width="9.85546875" style="28" customWidth="1"/>
    <col min="11274" max="11522" width="9.140625" style="28"/>
    <col min="11523" max="11523" width="2.85546875" style="28" customWidth="1"/>
    <col min="11524" max="11524" width="41.42578125" style="28" customWidth="1"/>
    <col min="11525" max="11526" width="9.85546875" style="28" customWidth="1"/>
    <col min="11527" max="11527" width="19.7109375" style="28" customWidth="1"/>
    <col min="11528" max="11529" width="9.85546875" style="28" customWidth="1"/>
    <col min="11530" max="11778" width="9.140625" style="28"/>
    <col min="11779" max="11779" width="2.85546875" style="28" customWidth="1"/>
    <col min="11780" max="11780" width="41.42578125" style="28" customWidth="1"/>
    <col min="11781" max="11782" width="9.85546875" style="28" customWidth="1"/>
    <col min="11783" max="11783" width="19.7109375" style="28" customWidth="1"/>
    <col min="11784" max="11785" width="9.85546875" style="28" customWidth="1"/>
    <col min="11786" max="12034" width="9.140625" style="28"/>
    <col min="12035" max="12035" width="2.85546875" style="28" customWidth="1"/>
    <col min="12036" max="12036" width="41.42578125" style="28" customWidth="1"/>
    <col min="12037" max="12038" width="9.85546875" style="28" customWidth="1"/>
    <col min="12039" max="12039" width="19.7109375" style="28" customWidth="1"/>
    <col min="12040" max="12041" width="9.85546875" style="28" customWidth="1"/>
    <col min="12042" max="12290" width="9.140625" style="28"/>
    <col min="12291" max="12291" width="2.85546875" style="28" customWidth="1"/>
    <col min="12292" max="12292" width="41.42578125" style="28" customWidth="1"/>
    <col min="12293" max="12294" width="9.85546875" style="28" customWidth="1"/>
    <col min="12295" max="12295" width="19.7109375" style="28" customWidth="1"/>
    <col min="12296" max="12297" width="9.85546875" style="28" customWidth="1"/>
    <col min="12298" max="12546" width="9.140625" style="28"/>
    <col min="12547" max="12547" width="2.85546875" style="28" customWidth="1"/>
    <col min="12548" max="12548" width="41.42578125" style="28" customWidth="1"/>
    <col min="12549" max="12550" width="9.85546875" style="28" customWidth="1"/>
    <col min="12551" max="12551" width="19.7109375" style="28" customWidth="1"/>
    <col min="12552" max="12553" width="9.85546875" style="28" customWidth="1"/>
    <col min="12554" max="12802" width="9.140625" style="28"/>
    <col min="12803" max="12803" width="2.85546875" style="28" customWidth="1"/>
    <col min="12804" max="12804" width="41.42578125" style="28" customWidth="1"/>
    <col min="12805" max="12806" width="9.85546875" style="28" customWidth="1"/>
    <col min="12807" max="12807" width="19.7109375" style="28" customWidth="1"/>
    <col min="12808" max="12809" width="9.85546875" style="28" customWidth="1"/>
    <col min="12810" max="13058" width="9.140625" style="28"/>
    <col min="13059" max="13059" width="2.85546875" style="28" customWidth="1"/>
    <col min="13060" max="13060" width="41.42578125" style="28" customWidth="1"/>
    <col min="13061" max="13062" width="9.85546875" style="28" customWidth="1"/>
    <col min="13063" max="13063" width="19.7109375" style="28" customWidth="1"/>
    <col min="13064" max="13065" width="9.85546875" style="28" customWidth="1"/>
    <col min="13066" max="13314" width="9.140625" style="28"/>
    <col min="13315" max="13315" width="2.85546875" style="28" customWidth="1"/>
    <col min="13316" max="13316" width="41.42578125" style="28" customWidth="1"/>
    <col min="13317" max="13318" width="9.85546875" style="28" customWidth="1"/>
    <col min="13319" max="13319" width="19.7109375" style="28" customWidth="1"/>
    <col min="13320" max="13321" width="9.85546875" style="28" customWidth="1"/>
    <col min="13322" max="13570" width="9.140625" style="28"/>
    <col min="13571" max="13571" width="2.85546875" style="28" customWidth="1"/>
    <col min="13572" max="13572" width="41.42578125" style="28" customWidth="1"/>
    <col min="13573" max="13574" width="9.85546875" style="28" customWidth="1"/>
    <col min="13575" max="13575" width="19.7109375" style="28" customWidth="1"/>
    <col min="13576" max="13577" width="9.85546875" style="28" customWidth="1"/>
    <col min="13578" max="13826" width="9.140625" style="28"/>
    <col min="13827" max="13827" width="2.85546875" style="28" customWidth="1"/>
    <col min="13828" max="13828" width="41.42578125" style="28" customWidth="1"/>
    <col min="13829" max="13830" width="9.85546875" style="28" customWidth="1"/>
    <col min="13831" max="13831" width="19.7109375" style="28" customWidth="1"/>
    <col min="13832" max="13833" width="9.85546875" style="28" customWidth="1"/>
    <col min="13834" max="14082" width="9.140625" style="28"/>
    <col min="14083" max="14083" width="2.85546875" style="28" customWidth="1"/>
    <col min="14084" max="14084" width="41.42578125" style="28" customWidth="1"/>
    <col min="14085" max="14086" width="9.85546875" style="28" customWidth="1"/>
    <col min="14087" max="14087" width="19.7109375" style="28" customWidth="1"/>
    <col min="14088" max="14089" width="9.85546875" style="28" customWidth="1"/>
    <col min="14090" max="14338" width="9.140625" style="28"/>
    <col min="14339" max="14339" width="2.85546875" style="28" customWidth="1"/>
    <col min="14340" max="14340" width="41.42578125" style="28" customWidth="1"/>
    <col min="14341" max="14342" width="9.85546875" style="28" customWidth="1"/>
    <col min="14343" max="14343" width="19.7109375" style="28" customWidth="1"/>
    <col min="14344" max="14345" width="9.85546875" style="28" customWidth="1"/>
    <col min="14346" max="14594" width="9.140625" style="28"/>
    <col min="14595" max="14595" width="2.85546875" style="28" customWidth="1"/>
    <col min="14596" max="14596" width="41.42578125" style="28" customWidth="1"/>
    <col min="14597" max="14598" width="9.85546875" style="28" customWidth="1"/>
    <col min="14599" max="14599" width="19.7109375" style="28" customWidth="1"/>
    <col min="14600" max="14601" width="9.85546875" style="28" customWidth="1"/>
    <col min="14602" max="14850" width="9.140625" style="28"/>
    <col min="14851" max="14851" width="2.85546875" style="28" customWidth="1"/>
    <col min="14852" max="14852" width="41.42578125" style="28" customWidth="1"/>
    <col min="14853" max="14854" width="9.85546875" style="28" customWidth="1"/>
    <col min="14855" max="14855" width="19.7109375" style="28" customWidth="1"/>
    <col min="14856" max="14857" width="9.85546875" style="28" customWidth="1"/>
    <col min="14858" max="15106" width="9.140625" style="28"/>
    <col min="15107" max="15107" width="2.85546875" style="28" customWidth="1"/>
    <col min="15108" max="15108" width="41.42578125" style="28" customWidth="1"/>
    <col min="15109" max="15110" width="9.85546875" style="28" customWidth="1"/>
    <col min="15111" max="15111" width="19.7109375" style="28" customWidth="1"/>
    <col min="15112" max="15113" width="9.85546875" style="28" customWidth="1"/>
    <col min="15114" max="15362" width="9.140625" style="28"/>
    <col min="15363" max="15363" width="2.85546875" style="28" customWidth="1"/>
    <col min="15364" max="15364" width="41.42578125" style="28" customWidth="1"/>
    <col min="15365" max="15366" width="9.85546875" style="28" customWidth="1"/>
    <col min="15367" max="15367" width="19.7109375" style="28" customWidth="1"/>
    <col min="15368" max="15369" width="9.85546875" style="28" customWidth="1"/>
    <col min="15370" max="15618" width="9.140625" style="28"/>
    <col min="15619" max="15619" width="2.85546875" style="28" customWidth="1"/>
    <col min="15620" max="15620" width="41.42578125" style="28" customWidth="1"/>
    <col min="15621" max="15622" width="9.85546875" style="28" customWidth="1"/>
    <col min="15623" max="15623" width="19.7109375" style="28" customWidth="1"/>
    <col min="15624" max="15625" width="9.85546875" style="28" customWidth="1"/>
    <col min="15626" max="15874" width="9.140625" style="28"/>
    <col min="15875" max="15875" width="2.85546875" style="28" customWidth="1"/>
    <col min="15876" max="15876" width="41.42578125" style="28" customWidth="1"/>
    <col min="15877" max="15878" width="9.85546875" style="28" customWidth="1"/>
    <col min="15879" max="15879" width="19.7109375" style="28" customWidth="1"/>
    <col min="15880" max="15881" width="9.85546875" style="28" customWidth="1"/>
    <col min="15882" max="16130" width="9.140625" style="28"/>
    <col min="16131" max="16131" width="2.85546875" style="28" customWidth="1"/>
    <col min="16132" max="16132" width="41.42578125" style="28" customWidth="1"/>
    <col min="16133" max="16134" width="9.85546875" style="28" customWidth="1"/>
    <col min="16135" max="16135" width="19.7109375" style="28" customWidth="1"/>
    <col min="16136" max="16137" width="9.85546875" style="28" customWidth="1"/>
    <col min="16138" max="16384" width="9.140625" style="28"/>
  </cols>
  <sheetData>
    <row r="1" spans="4:7" ht="13.5" thickBot="1" x14ac:dyDescent="0.25"/>
    <row r="2" spans="4:7" ht="13.5" thickBot="1" x14ac:dyDescent="0.25">
      <c r="D2" s="29" t="s">
        <v>198</v>
      </c>
      <c r="E2" s="30"/>
      <c r="F2" s="31"/>
      <c r="G2" s="32" t="s">
        <v>199</v>
      </c>
    </row>
    <row r="3" spans="4:7" x14ac:dyDescent="0.2">
      <c r="D3" s="33" t="s">
        <v>200</v>
      </c>
      <c r="E3" s="34"/>
      <c r="F3" s="35" t="e">
        <f>E3/E5</f>
        <v>#DIV/0!</v>
      </c>
      <c r="G3" s="36"/>
    </row>
    <row r="4" spans="4:7" x14ac:dyDescent="0.2">
      <c r="D4" s="37" t="s">
        <v>201</v>
      </c>
      <c r="E4" s="38"/>
      <c r="F4" s="39" t="e">
        <f>E4/E5</f>
        <v>#DIV/0!</v>
      </c>
      <c r="G4" s="40"/>
    </row>
    <row r="5" spans="4:7" x14ac:dyDescent="0.2">
      <c r="D5" s="37" t="s">
        <v>100</v>
      </c>
      <c r="E5" s="38">
        <f>SUM(E3:E4)</f>
        <v>0</v>
      </c>
      <c r="F5" s="39"/>
      <c r="G5" s="41" t="e">
        <f>E4/E5</f>
        <v>#DIV/0!</v>
      </c>
    </row>
    <row r="6" spans="4:7" x14ac:dyDescent="0.2">
      <c r="D6" s="37"/>
      <c r="E6" s="42"/>
      <c r="F6" s="42"/>
      <c r="G6" s="40"/>
    </row>
    <row r="7" spans="4:7" ht="13.5" thickBot="1" x14ac:dyDescent="0.25">
      <c r="D7" s="43" t="s">
        <v>202</v>
      </c>
      <c r="E7" s="44"/>
      <c r="F7" s="44"/>
      <c r="G7" s="45" t="s">
        <v>199</v>
      </c>
    </row>
    <row r="8" spans="4:7" x14ac:dyDescent="0.2">
      <c r="D8" s="33" t="s">
        <v>200</v>
      </c>
      <c r="E8" s="34"/>
      <c r="F8" s="39" t="e">
        <f>E8/E10</f>
        <v>#DIV/0!</v>
      </c>
      <c r="G8" s="36"/>
    </row>
    <row r="9" spans="4:7" x14ac:dyDescent="0.2">
      <c r="D9" s="37" t="s">
        <v>201</v>
      </c>
      <c r="E9" s="38"/>
      <c r="F9" s="39" t="e">
        <f>E9/E10</f>
        <v>#DIV/0!</v>
      </c>
      <c r="G9" s="40"/>
    </row>
    <row r="10" spans="4:7" x14ac:dyDescent="0.2">
      <c r="D10" s="37" t="s">
        <v>100</v>
      </c>
      <c r="E10" s="38">
        <f>SUM(E8:E9)</f>
        <v>0</v>
      </c>
      <c r="F10" s="38"/>
      <c r="G10" s="41" t="e">
        <f>E9/E10</f>
        <v>#DIV/0!</v>
      </c>
    </row>
    <row r="11" spans="4:7" x14ac:dyDescent="0.2">
      <c r="D11" s="37"/>
      <c r="E11" s="42"/>
      <c r="F11" s="42"/>
      <c r="G11" s="40"/>
    </row>
    <row r="12" spans="4:7" x14ac:dyDescent="0.2">
      <c r="D12" s="37"/>
      <c r="E12" s="42"/>
      <c r="F12" s="42"/>
      <c r="G12" s="40"/>
    </row>
    <row r="13" spans="4:7" ht="13.5" thickBot="1" x14ac:dyDescent="0.25">
      <c r="D13" s="43" t="s">
        <v>142</v>
      </c>
      <c r="E13" s="44"/>
      <c r="F13" s="44"/>
      <c r="G13" s="45" t="s">
        <v>199</v>
      </c>
    </row>
    <row r="14" spans="4:7" ht="25.5" x14ac:dyDescent="0.2">
      <c r="D14" s="33" t="s">
        <v>203</v>
      </c>
      <c r="E14" s="34"/>
      <c r="F14" s="39" t="e">
        <f>E14/E16</f>
        <v>#DIV/0!</v>
      </c>
      <c r="G14" s="36"/>
    </row>
    <row r="15" spans="4:7" ht="25.5" x14ac:dyDescent="0.2">
      <c r="D15" s="37" t="s">
        <v>204</v>
      </c>
      <c r="E15" s="38"/>
      <c r="F15" s="39" t="e">
        <f>E15/E16</f>
        <v>#DIV/0!</v>
      </c>
      <c r="G15" s="40"/>
    </row>
    <row r="16" spans="4:7" x14ac:dyDescent="0.2">
      <c r="D16" s="37" t="s">
        <v>100</v>
      </c>
      <c r="E16" s="38">
        <f>SUM(E14:E15)</f>
        <v>0</v>
      </c>
      <c r="F16" s="38"/>
      <c r="G16" s="41" t="e">
        <f>E15/E16</f>
        <v>#DIV/0!</v>
      </c>
    </row>
    <row r="17" spans="4:7" x14ac:dyDescent="0.2">
      <c r="D17" s="37"/>
      <c r="E17" s="42"/>
      <c r="F17" s="42"/>
      <c r="G17" s="40"/>
    </row>
    <row r="18" spans="4:7" ht="13.5" thickBot="1" x14ac:dyDescent="0.25">
      <c r="D18" s="43" t="s">
        <v>205</v>
      </c>
      <c r="E18" s="44"/>
      <c r="F18" s="44"/>
      <c r="G18" s="45" t="s">
        <v>199</v>
      </c>
    </row>
    <row r="19" spans="4:7" x14ac:dyDescent="0.2">
      <c r="D19" s="46" t="s">
        <v>206</v>
      </c>
      <c r="E19" s="47"/>
      <c r="F19" s="39" t="e">
        <f>E19/E21</f>
        <v>#DIV/0!</v>
      </c>
      <c r="G19" s="48"/>
    </row>
    <row r="20" spans="4:7" x14ac:dyDescent="0.2">
      <c r="D20" s="33" t="s">
        <v>207</v>
      </c>
      <c r="E20" s="34"/>
      <c r="F20" s="39" t="e">
        <f>E20/E21</f>
        <v>#DIV/0!</v>
      </c>
      <c r="G20" s="36"/>
    </row>
    <row r="21" spans="4:7" x14ac:dyDescent="0.2">
      <c r="D21" s="37" t="s">
        <v>100</v>
      </c>
      <c r="E21" s="34">
        <f>SUM(E19:E20)</f>
        <v>0</v>
      </c>
      <c r="F21" s="34"/>
      <c r="G21" s="49">
        <v>1</v>
      </c>
    </row>
    <row r="22" spans="4:7" x14ac:dyDescent="0.2">
      <c r="D22" s="37"/>
      <c r="E22" s="42"/>
      <c r="F22" s="42"/>
      <c r="G22" s="40"/>
    </row>
    <row r="23" spans="4:7" ht="13.5" thickBot="1" x14ac:dyDescent="0.25">
      <c r="D23" s="43" t="s">
        <v>208</v>
      </c>
      <c r="E23" s="44"/>
      <c r="F23" s="44"/>
      <c r="G23" s="45" t="s">
        <v>199</v>
      </c>
    </row>
    <row r="24" spans="4:7" ht="21" customHeight="1" x14ac:dyDescent="0.2">
      <c r="D24" s="33" t="s">
        <v>209</v>
      </c>
      <c r="E24" s="34">
        <f>SUM(E3,E8,E14)</f>
        <v>0</v>
      </c>
      <c r="F24" s="39" t="e">
        <f>E24/E26</f>
        <v>#DIV/0!</v>
      </c>
      <c r="G24" s="36"/>
    </row>
    <row r="25" spans="4:7" x14ac:dyDescent="0.2">
      <c r="D25" s="37" t="s">
        <v>201</v>
      </c>
      <c r="E25" s="38">
        <f>SUM(E4,E9,E15,E21)</f>
        <v>0</v>
      </c>
      <c r="F25" s="39" t="e">
        <f>E25/E26</f>
        <v>#DIV/0!</v>
      </c>
      <c r="G25" s="40"/>
    </row>
    <row r="26" spans="4:7" ht="13.5" thickBot="1" x14ac:dyDescent="0.25">
      <c r="D26" s="50" t="s">
        <v>100</v>
      </c>
      <c r="E26" s="51">
        <f>SUM(E24:E25)</f>
        <v>0</v>
      </c>
      <c r="F26" s="51"/>
      <c r="G26" s="52" t="e">
        <f>E25/E26</f>
        <v>#DIV/0!</v>
      </c>
    </row>
    <row r="29" spans="4:7" x14ac:dyDescent="0.2">
      <c r="E29" s="53"/>
      <c r="F29" s="53"/>
    </row>
    <row r="30" spans="4:7" x14ac:dyDescent="0.2">
      <c r="E30" s="53"/>
      <c r="F30" s="53"/>
    </row>
    <row r="31" spans="4:7" x14ac:dyDescent="0.2">
      <c r="E31" s="53"/>
      <c r="F31" s="53"/>
    </row>
  </sheetData>
  <pageMargins left="0.75" right="0.75" top="1" bottom="1" header="0.5" footer="0.5"/>
  <pageSetup paperSize="9" orientation="portrait" horizont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9607-9295-45C6-A469-8483D649EE21}">
  <sheetPr codeName="Sheet1"/>
  <dimension ref="C2:F29"/>
  <sheetViews>
    <sheetView workbookViewId="0">
      <selection activeCell="C2" sqref="C2:E2"/>
    </sheetView>
  </sheetViews>
  <sheetFormatPr defaultRowHeight="15" x14ac:dyDescent="0.25"/>
  <cols>
    <col min="1" max="2" width="9.140625" style="1"/>
    <col min="3" max="3" width="16.140625" style="1" customWidth="1"/>
    <col min="4" max="4" width="54.28515625" style="1" bestFit="1" customWidth="1"/>
    <col min="5" max="5" width="30.5703125" style="1" customWidth="1"/>
    <col min="6" max="6" width="25.5703125" style="1" customWidth="1"/>
    <col min="7" max="10" width="9.140625" style="1"/>
    <col min="11" max="11" width="35.42578125" style="1" bestFit="1" customWidth="1"/>
    <col min="12" max="16384" width="9.140625" style="1"/>
  </cols>
  <sheetData>
    <row r="2" spans="3:6" ht="15.75" x14ac:dyDescent="0.25">
      <c r="C2" s="88" t="s">
        <v>102</v>
      </c>
      <c r="D2" s="88"/>
      <c r="E2" s="88"/>
    </row>
    <row r="3" spans="3:6" ht="15.75" x14ac:dyDescent="0.25">
      <c r="C3" s="88"/>
      <c r="D3" s="88"/>
      <c r="E3" s="88"/>
    </row>
    <row r="5" spans="3:6" x14ac:dyDescent="0.25">
      <c r="C5" s="25" t="s">
        <v>0</v>
      </c>
      <c r="D5" s="25" t="s">
        <v>1</v>
      </c>
      <c r="E5" s="25" t="s">
        <v>2</v>
      </c>
      <c r="F5" s="25" t="s">
        <v>101</v>
      </c>
    </row>
    <row r="6" spans="3:6" x14ac:dyDescent="0.25">
      <c r="C6" s="2" t="s">
        <v>3</v>
      </c>
      <c r="D6" s="2" t="s">
        <v>4</v>
      </c>
      <c r="E6" s="2" t="s">
        <v>5</v>
      </c>
      <c r="F6" s="2"/>
    </row>
    <row r="7" spans="3:6" x14ac:dyDescent="0.25">
      <c r="C7" s="2" t="s">
        <v>6</v>
      </c>
      <c r="D7" s="2" t="s">
        <v>7</v>
      </c>
      <c r="E7" s="2" t="s">
        <v>8</v>
      </c>
      <c r="F7" s="2"/>
    </row>
    <row r="8" spans="3:6" x14ac:dyDescent="0.25">
      <c r="C8" s="2" t="s">
        <v>9</v>
      </c>
      <c r="D8" s="2" t="s">
        <v>10</v>
      </c>
      <c r="E8" s="2" t="s">
        <v>11</v>
      </c>
      <c r="F8" s="2"/>
    </row>
    <row r="9" spans="3:6" x14ac:dyDescent="0.25">
      <c r="C9" s="2" t="s">
        <v>12</v>
      </c>
      <c r="D9" s="2" t="s">
        <v>13</v>
      </c>
      <c r="E9" s="2" t="s">
        <v>14</v>
      </c>
      <c r="F9" s="2"/>
    </row>
    <row r="10" spans="3:6" x14ac:dyDescent="0.25">
      <c r="C10" s="2" t="s">
        <v>15</v>
      </c>
      <c r="D10" s="2" t="s">
        <v>16</v>
      </c>
      <c r="E10" s="2" t="s">
        <v>17</v>
      </c>
      <c r="F10" s="2"/>
    </row>
    <row r="11" spans="3:6" x14ac:dyDescent="0.25">
      <c r="C11" s="2" t="s">
        <v>18</v>
      </c>
      <c r="D11" s="2" t="s">
        <v>19</v>
      </c>
      <c r="E11" s="2" t="s">
        <v>20</v>
      </c>
      <c r="F11" s="2"/>
    </row>
    <row r="12" spans="3:6" x14ac:dyDescent="0.25">
      <c r="C12" s="2" t="s">
        <v>21</v>
      </c>
      <c r="D12" s="2" t="s">
        <v>22</v>
      </c>
      <c r="E12" s="2" t="s">
        <v>23</v>
      </c>
      <c r="F12" s="2"/>
    </row>
    <row r="13" spans="3:6" x14ac:dyDescent="0.25">
      <c r="C13" s="2" t="s">
        <v>24</v>
      </c>
      <c r="D13" s="2" t="s">
        <v>25</v>
      </c>
      <c r="E13" s="2" t="s">
        <v>26</v>
      </c>
      <c r="F13" s="2"/>
    </row>
    <row r="14" spans="3:6" x14ac:dyDescent="0.25">
      <c r="C14" s="2" t="s">
        <v>27</v>
      </c>
      <c r="D14" s="2" t="s">
        <v>28</v>
      </c>
      <c r="E14" s="2" t="s">
        <v>29</v>
      </c>
      <c r="F14" s="2"/>
    </row>
    <row r="15" spans="3:6" x14ac:dyDescent="0.25">
      <c r="C15" s="2" t="s">
        <v>30</v>
      </c>
      <c r="D15" s="2" t="s">
        <v>31</v>
      </c>
      <c r="E15" s="2" t="s">
        <v>32</v>
      </c>
      <c r="F15" s="2"/>
    </row>
    <row r="16" spans="3:6" x14ac:dyDescent="0.25">
      <c r="C16" s="2" t="s">
        <v>33</v>
      </c>
      <c r="D16" s="2" t="s">
        <v>34</v>
      </c>
      <c r="E16" s="2" t="s">
        <v>35</v>
      </c>
      <c r="F16" s="2"/>
    </row>
    <row r="17" spans="3:6" x14ac:dyDescent="0.25">
      <c r="C17" s="2" t="s">
        <v>36</v>
      </c>
      <c r="D17" s="2" t="s">
        <v>37</v>
      </c>
      <c r="E17" s="2" t="s">
        <v>38</v>
      </c>
      <c r="F17" s="2"/>
    </row>
    <row r="18" spans="3:6" x14ac:dyDescent="0.25">
      <c r="C18" s="2" t="s">
        <v>39</v>
      </c>
      <c r="D18" s="2" t="s">
        <v>40</v>
      </c>
      <c r="E18" s="2" t="s">
        <v>41</v>
      </c>
      <c r="F18" s="2"/>
    </row>
    <row r="19" spans="3:6" x14ac:dyDescent="0.25">
      <c r="C19" s="2" t="s">
        <v>42</v>
      </c>
      <c r="D19" s="2" t="s">
        <v>43</v>
      </c>
      <c r="E19" s="2" t="s">
        <v>44</v>
      </c>
      <c r="F19" s="2"/>
    </row>
    <row r="20" spans="3:6" x14ac:dyDescent="0.25">
      <c r="C20" s="2" t="s">
        <v>45</v>
      </c>
      <c r="D20" s="2" t="s">
        <v>46</v>
      </c>
      <c r="E20" s="2" t="s">
        <v>47</v>
      </c>
      <c r="F20" s="2"/>
    </row>
    <row r="21" spans="3:6" x14ac:dyDescent="0.25">
      <c r="C21" s="2" t="s">
        <v>48</v>
      </c>
      <c r="D21" s="2" t="s">
        <v>49</v>
      </c>
      <c r="E21" s="2" t="s">
        <v>50</v>
      </c>
      <c r="F21" s="2"/>
    </row>
    <row r="22" spans="3:6" x14ac:dyDescent="0.25">
      <c r="C22" s="2" t="s">
        <v>51</v>
      </c>
      <c r="D22" s="2" t="s">
        <v>52</v>
      </c>
      <c r="E22" s="2" t="s">
        <v>53</v>
      </c>
      <c r="F22" s="2"/>
    </row>
    <row r="23" spans="3:6" x14ac:dyDescent="0.25">
      <c r="C23" s="2" t="s">
        <v>54</v>
      </c>
      <c r="D23" s="2" t="s">
        <v>55</v>
      </c>
      <c r="E23" s="2" t="s">
        <v>56</v>
      </c>
      <c r="F23" s="2"/>
    </row>
    <row r="24" spans="3:6" x14ac:dyDescent="0.25">
      <c r="C24" s="2" t="s">
        <v>57</v>
      </c>
      <c r="D24" s="2" t="s">
        <v>58</v>
      </c>
      <c r="E24" s="2" t="s">
        <v>59</v>
      </c>
      <c r="F24" s="2"/>
    </row>
    <row r="25" spans="3:6" x14ac:dyDescent="0.25">
      <c r="C25" s="2" t="s">
        <v>60</v>
      </c>
      <c r="D25" s="2" t="s">
        <v>61</v>
      </c>
      <c r="E25" s="2" t="s">
        <v>62</v>
      </c>
      <c r="F25" s="2"/>
    </row>
    <row r="26" spans="3:6" x14ac:dyDescent="0.25">
      <c r="C26" s="2" t="s">
        <v>63</v>
      </c>
      <c r="D26" s="2" t="s">
        <v>64</v>
      </c>
      <c r="E26" s="2" t="s">
        <v>65</v>
      </c>
      <c r="F26" s="2"/>
    </row>
    <row r="27" spans="3:6" x14ac:dyDescent="0.25">
      <c r="C27" s="2" t="s">
        <v>66</v>
      </c>
      <c r="D27" s="2" t="s">
        <v>67</v>
      </c>
      <c r="E27" s="2"/>
      <c r="F27" s="2"/>
    </row>
    <row r="28" spans="3:6" x14ac:dyDescent="0.25">
      <c r="C28" s="2"/>
      <c r="D28" s="2"/>
      <c r="E28" s="2"/>
      <c r="F28" s="2"/>
    </row>
    <row r="29" spans="3:6" x14ac:dyDescent="0.25">
      <c r="C29" s="2" t="s">
        <v>68</v>
      </c>
      <c r="D29" s="2"/>
      <c r="E29" s="2"/>
      <c r="F29" s="2"/>
    </row>
  </sheetData>
  <mergeCells count="2">
    <mergeCell ref="C2:E2"/>
    <mergeCell ref="C3:E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201B-D555-4A96-ACDB-1251E66665F3}">
  <sheetPr codeName="Sheet2"/>
  <dimension ref="B2:D21"/>
  <sheetViews>
    <sheetView workbookViewId="0">
      <selection activeCell="B2" sqref="B2:D2"/>
    </sheetView>
  </sheetViews>
  <sheetFormatPr defaultRowHeight="12.75" x14ac:dyDescent="0.2"/>
  <cols>
    <col min="1" max="1" width="9.140625" style="3"/>
    <col min="2" max="2" width="19" style="3" customWidth="1"/>
    <col min="3" max="3" width="24.5703125" style="3" customWidth="1"/>
    <col min="4" max="4" width="29.42578125" style="3" customWidth="1"/>
    <col min="5" max="258" width="9.140625" style="3"/>
    <col min="259" max="259" width="11.7109375" style="3" customWidth="1"/>
    <col min="260" max="260" width="22.42578125" style="3" customWidth="1"/>
    <col min="261" max="514" width="9.140625" style="3"/>
    <col min="515" max="515" width="11.7109375" style="3" customWidth="1"/>
    <col min="516" max="516" width="22.42578125" style="3" customWidth="1"/>
    <col min="517" max="770" width="9.140625" style="3"/>
    <col min="771" max="771" width="11.7109375" style="3" customWidth="1"/>
    <col min="772" max="772" width="22.42578125" style="3" customWidth="1"/>
    <col min="773" max="1026" width="9.140625" style="3"/>
    <col min="1027" max="1027" width="11.7109375" style="3" customWidth="1"/>
    <col min="1028" max="1028" width="22.42578125" style="3" customWidth="1"/>
    <col min="1029" max="1282" width="9.140625" style="3"/>
    <col min="1283" max="1283" width="11.7109375" style="3" customWidth="1"/>
    <col min="1284" max="1284" width="22.42578125" style="3" customWidth="1"/>
    <col min="1285" max="1538" width="9.140625" style="3"/>
    <col min="1539" max="1539" width="11.7109375" style="3" customWidth="1"/>
    <col min="1540" max="1540" width="22.42578125" style="3" customWidth="1"/>
    <col min="1541" max="1794" width="9.140625" style="3"/>
    <col min="1795" max="1795" width="11.7109375" style="3" customWidth="1"/>
    <col min="1796" max="1796" width="22.42578125" style="3" customWidth="1"/>
    <col min="1797" max="2050" width="9.140625" style="3"/>
    <col min="2051" max="2051" width="11.7109375" style="3" customWidth="1"/>
    <col min="2052" max="2052" width="22.42578125" style="3" customWidth="1"/>
    <col min="2053" max="2306" width="9.140625" style="3"/>
    <col min="2307" max="2307" width="11.7109375" style="3" customWidth="1"/>
    <col min="2308" max="2308" width="22.42578125" style="3" customWidth="1"/>
    <col min="2309" max="2562" width="9.140625" style="3"/>
    <col min="2563" max="2563" width="11.7109375" style="3" customWidth="1"/>
    <col min="2564" max="2564" width="22.42578125" style="3" customWidth="1"/>
    <col min="2565" max="2818" width="9.140625" style="3"/>
    <col min="2819" max="2819" width="11.7109375" style="3" customWidth="1"/>
    <col min="2820" max="2820" width="22.42578125" style="3" customWidth="1"/>
    <col min="2821" max="3074" width="9.140625" style="3"/>
    <col min="3075" max="3075" width="11.7109375" style="3" customWidth="1"/>
    <col min="3076" max="3076" width="22.42578125" style="3" customWidth="1"/>
    <col min="3077" max="3330" width="9.140625" style="3"/>
    <col min="3331" max="3331" width="11.7109375" style="3" customWidth="1"/>
    <col min="3332" max="3332" width="22.42578125" style="3" customWidth="1"/>
    <col min="3333" max="3586" width="9.140625" style="3"/>
    <col min="3587" max="3587" width="11.7109375" style="3" customWidth="1"/>
    <col min="3588" max="3588" width="22.42578125" style="3" customWidth="1"/>
    <col min="3589" max="3842" width="9.140625" style="3"/>
    <col min="3843" max="3843" width="11.7109375" style="3" customWidth="1"/>
    <col min="3844" max="3844" width="22.42578125" style="3" customWidth="1"/>
    <col min="3845" max="4098" width="9.140625" style="3"/>
    <col min="4099" max="4099" width="11.7109375" style="3" customWidth="1"/>
    <col min="4100" max="4100" width="22.42578125" style="3" customWidth="1"/>
    <col min="4101" max="4354" width="9.140625" style="3"/>
    <col min="4355" max="4355" width="11.7109375" style="3" customWidth="1"/>
    <col min="4356" max="4356" width="22.42578125" style="3" customWidth="1"/>
    <col min="4357" max="4610" width="9.140625" style="3"/>
    <col min="4611" max="4611" width="11.7109375" style="3" customWidth="1"/>
    <col min="4612" max="4612" width="22.42578125" style="3" customWidth="1"/>
    <col min="4613" max="4866" width="9.140625" style="3"/>
    <col min="4867" max="4867" width="11.7109375" style="3" customWidth="1"/>
    <col min="4868" max="4868" width="22.42578125" style="3" customWidth="1"/>
    <col min="4869" max="5122" width="9.140625" style="3"/>
    <col min="5123" max="5123" width="11.7109375" style="3" customWidth="1"/>
    <col min="5124" max="5124" width="22.42578125" style="3" customWidth="1"/>
    <col min="5125" max="5378" width="9.140625" style="3"/>
    <col min="5379" max="5379" width="11.7109375" style="3" customWidth="1"/>
    <col min="5380" max="5380" width="22.42578125" style="3" customWidth="1"/>
    <col min="5381" max="5634" width="9.140625" style="3"/>
    <col min="5635" max="5635" width="11.7109375" style="3" customWidth="1"/>
    <col min="5636" max="5636" width="22.42578125" style="3" customWidth="1"/>
    <col min="5637" max="5890" width="9.140625" style="3"/>
    <col min="5891" max="5891" width="11.7109375" style="3" customWidth="1"/>
    <col min="5892" max="5892" width="22.42578125" style="3" customWidth="1"/>
    <col min="5893" max="6146" width="9.140625" style="3"/>
    <col min="6147" max="6147" width="11.7109375" style="3" customWidth="1"/>
    <col min="6148" max="6148" width="22.42578125" style="3" customWidth="1"/>
    <col min="6149" max="6402" width="9.140625" style="3"/>
    <col min="6403" max="6403" width="11.7109375" style="3" customWidth="1"/>
    <col min="6404" max="6404" width="22.42578125" style="3" customWidth="1"/>
    <col min="6405" max="6658" width="9.140625" style="3"/>
    <col min="6659" max="6659" width="11.7109375" style="3" customWidth="1"/>
    <col min="6660" max="6660" width="22.42578125" style="3" customWidth="1"/>
    <col min="6661" max="6914" width="9.140625" style="3"/>
    <col min="6915" max="6915" width="11.7109375" style="3" customWidth="1"/>
    <col min="6916" max="6916" width="22.42578125" style="3" customWidth="1"/>
    <col min="6917" max="7170" width="9.140625" style="3"/>
    <col min="7171" max="7171" width="11.7109375" style="3" customWidth="1"/>
    <col min="7172" max="7172" width="22.42578125" style="3" customWidth="1"/>
    <col min="7173" max="7426" width="9.140625" style="3"/>
    <col min="7427" max="7427" width="11.7109375" style="3" customWidth="1"/>
    <col min="7428" max="7428" width="22.42578125" style="3" customWidth="1"/>
    <col min="7429" max="7682" width="9.140625" style="3"/>
    <col min="7683" max="7683" width="11.7109375" style="3" customWidth="1"/>
    <col min="7684" max="7684" width="22.42578125" style="3" customWidth="1"/>
    <col min="7685" max="7938" width="9.140625" style="3"/>
    <col min="7939" max="7939" width="11.7109375" style="3" customWidth="1"/>
    <col min="7940" max="7940" width="22.42578125" style="3" customWidth="1"/>
    <col min="7941" max="8194" width="9.140625" style="3"/>
    <col min="8195" max="8195" width="11.7109375" style="3" customWidth="1"/>
    <col min="8196" max="8196" width="22.42578125" style="3" customWidth="1"/>
    <col min="8197" max="8450" width="9.140625" style="3"/>
    <col min="8451" max="8451" width="11.7109375" style="3" customWidth="1"/>
    <col min="8452" max="8452" width="22.42578125" style="3" customWidth="1"/>
    <col min="8453" max="8706" width="9.140625" style="3"/>
    <col min="8707" max="8707" width="11.7109375" style="3" customWidth="1"/>
    <col min="8708" max="8708" width="22.42578125" style="3" customWidth="1"/>
    <col min="8709" max="8962" width="9.140625" style="3"/>
    <col min="8963" max="8963" width="11.7109375" style="3" customWidth="1"/>
    <col min="8964" max="8964" width="22.42578125" style="3" customWidth="1"/>
    <col min="8965" max="9218" width="9.140625" style="3"/>
    <col min="9219" max="9219" width="11.7109375" style="3" customWidth="1"/>
    <col min="9220" max="9220" width="22.42578125" style="3" customWidth="1"/>
    <col min="9221" max="9474" width="9.140625" style="3"/>
    <col min="9475" max="9475" width="11.7109375" style="3" customWidth="1"/>
    <col min="9476" max="9476" width="22.42578125" style="3" customWidth="1"/>
    <col min="9477" max="9730" width="9.140625" style="3"/>
    <col min="9731" max="9731" width="11.7109375" style="3" customWidth="1"/>
    <col min="9732" max="9732" width="22.42578125" style="3" customWidth="1"/>
    <col min="9733" max="9986" width="9.140625" style="3"/>
    <col min="9987" max="9987" width="11.7109375" style="3" customWidth="1"/>
    <col min="9988" max="9988" width="22.42578125" style="3" customWidth="1"/>
    <col min="9989" max="10242" width="9.140625" style="3"/>
    <col min="10243" max="10243" width="11.7109375" style="3" customWidth="1"/>
    <col min="10244" max="10244" width="22.42578125" style="3" customWidth="1"/>
    <col min="10245" max="10498" width="9.140625" style="3"/>
    <col min="10499" max="10499" width="11.7109375" style="3" customWidth="1"/>
    <col min="10500" max="10500" width="22.42578125" style="3" customWidth="1"/>
    <col min="10501" max="10754" width="9.140625" style="3"/>
    <col min="10755" max="10755" width="11.7109375" style="3" customWidth="1"/>
    <col min="10756" max="10756" width="22.42578125" style="3" customWidth="1"/>
    <col min="10757" max="11010" width="9.140625" style="3"/>
    <col min="11011" max="11011" width="11.7109375" style="3" customWidth="1"/>
    <col min="11012" max="11012" width="22.42578125" style="3" customWidth="1"/>
    <col min="11013" max="11266" width="9.140625" style="3"/>
    <col min="11267" max="11267" width="11.7109375" style="3" customWidth="1"/>
    <col min="11268" max="11268" width="22.42578125" style="3" customWidth="1"/>
    <col min="11269" max="11522" width="9.140625" style="3"/>
    <col min="11523" max="11523" width="11.7109375" style="3" customWidth="1"/>
    <col min="11524" max="11524" width="22.42578125" style="3" customWidth="1"/>
    <col min="11525" max="11778" width="9.140625" style="3"/>
    <col min="11779" max="11779" width="11.7109375" style="3" customWidth="1"/>
    <col min="11780" max="11780" width="22.42578125" style="3" customWidth="1"/>
    <col min="11781" max="12034" width="9.140625" style="3"/>
    <col min="12035" max="12035" width="11.7109375" style="3" customWidth="1"/>
    <col min="12036" max="12036" width="22.42578125" style="3" customWidth="1"/>
    <col min="12037" max="12290" width="9.140625" style="3"/>
    <col min="12291" max="12291" width="11.7109375" style="3" customWidth="1"/>
    <col min="12292" max="12292" width="22.42578125" style="3" customWidth="1"/>
    <col min="12293" max="12546" width="9.140625" style="3"/>
    <col min="12547" max="12547" width="11.7109375" style="3" customWidth="1"/>
    <col min="12548" max="12548" width="22.42578125" style="3" customWidth="1"/>
    <col min="12549" max="12802" width="9.140625" style="3"/>
    <col min="12803" max="12803" width="11.7109375" style="3" customWidth="1"/>
    <col min="12804" max="12804" width="22.42578125" style="3" customWidth="1"/>
    <col min="12805" max="13058" width="9.140625" style="3"/>
    <col min="13059" max="13059" width="11.7109375" style="3" customWidth="1"/>
    <col min="13060" max="13060" width="22.42578125" style="3" customWidth="1"/>
    <col min="13061" max="13314" width="9.140625" style="3"/>
    <col min="13315" max="13315" width="11.7109375" style="3" customWidth="1"/>
    <col min="13316" max="13316" width="22.42578125" style="3" customWidth="1"/>
    <col min="13317" max="13570" width="9.140625" style="3"/>
    <col min="13571" max="13571" width="11.7109375" style="3" customWidth="1"/>
    <col min="13572" max="13572" width="22.42578125" style="3" customWidth="1"/>
    <col min="13573" max="13826" width="9.140625" style="3"/>
    <col min="13827" max="13827" width="11.7109375" style="3" customWidth="1"/>
    <col min="13828" max="13828" width="22.42578125" style="3" customWidth="1"/>
    <col min="13829" max="14082" width="9.140625" style="3"/>
    <col min="14083" max="14083" width="11.7109375" style="3" customWidth="1"/>
    <col min="14084" max="14084" width="22.42578125" style="3" customWidth="1"/>
    <col min="14085" max="14338" width="9.140625" style="3"/>
    <col min="14339" max="14339" width="11.7109375" style="3" customWidth="1"/>
    <col min="14340" max="14340" width="22.42578125" style="3" customWidth="1"/>
    <col min="14341" max="14594" width="9.140625" style="3"/>
    <col min="14595" max="14595" width="11.7109375" style="3" customWidth="1"/>
    <col min="14596" max="14596" width="22.42578125" style="3" customWidth="1"/>
    <col min="14597" max="14850" width="9.140625" style="3"/>
    <col min="14851" max="14851" width="11.7109375" style="3" customWidth="1"/>
    <col min="14852" max="14852" width="22.42578125" style="3" customWidth="1"/>
    <col min="14853" max="15106" width="9.140625" style="3"/>
    <col min="15107" max="15107" width="11.7109375" style="3" customWidth="1"/>
    <col min="15108" max="15108" width="22.42578125" style="3" customWidth="1"/>
    <col min="15109" max="15362" width="9.140625" style="3"/>
    <col min="15363" max="15363" width="11.7109375" style="3" customWidth="1"/>
    <col min="15364" max="15364" width="22.42578125" style="3" customWidth="1"/>
    <col min="15365" max="15618" width="9.140625" style="3"/>
    <col min="15619" max="15619" width="11.7109375" style="3" customWidth="1"/>
    <col min="15620" max="15620" width="22.42578125" style="3" customWidth="1"/>
    <col min="15621" max="15874" width="9.140625" style="3"/>
    <col min="15875" max="15875" width="11.7109375" style="3" customWidth="1"/>
    <col min="15876" max="15876" width="22.42578125" style="3" customWidth="1"/>
    <col min="15877" max="16130" width="9.140625" style="3"/>
    <col min="16131" max="16131" width="11.7109375" style="3" customWidth="1"/>
    <col min="16132" max="16132" width="22.42578125" style="3" customWidth="1"/>
    <col min="16133" max="16384" width="9.140625" style="3"/>
  </cols>
  <sheetData>
    <row r="2" spans="2:4" ht="41.25" customHeight="1" x14ac:dyDescent="0.25">
      <c r="B2" s="89" t="s">
        <v>214</v>
      </c>
      <c r="C2" s="89"/>
      <c r="D2" s="89"/>
    </row>
    <row r="3" spans="2:4" ht="13.5" thickBot="1" x14ac:dyDescent="0.25"/>
    <row r="4" spans="2:4" ht="15.75" thickBot="1" x14ac:dyDescent="0.3">
      <c r="B4" s="4"/>
      <c r="C4" s="5"/>
      <c r="D4" s="6" t="s">
        <v>215</v>
      </c>
    </row>
    <row r="5" spans="2:4" ht="16.5" thickBot="1" x14ac:dyDescent="0.3">
      <c r="B5" s="7" t="s">
        <v>69</v>
      </c>
      <c r="C5" s="8" t="s">
        <v>70</v>
      </c>
      <c r="D5" s="9"/>
    </row>
    <row r="6" spans="2:4" ht="16.5" thickBot="1" x14ac:dyDescent="0.3">
      <c r="B6" s="7" t="s">
        <v>71</v>
      </c>
      <c r="C6" s="8" t="s">
        <v>72</v>
      </c>
      <c r="D6" s="9"/>
    </row>
    <row r="7" spans="2:4" ht="16.5" thickBot="1" x14ac:dyDescent="0.3">
      <c r="B7" s="7" t="s">
        <v>73</v>
      </c>
      <c r="C7" s="8" t="s">
        <v>74</v>
      </c>
      <c r="D7" s="9"/>
    </row>
    <row r="8" spans="2:4" ht="16.5" thickBot="1" x14ac:dyDescent="0.3">
      <c r="B8" s="7" t="s">
        <v>75</v>
      </c>
      <c r="C8" s="8" t="s">
        <v>76</v>
      </c>
      <c r="D8" s="9"/>
    </row>
    <row r="9" spans="2:4" ht="16.5" thickBot="1" x14ac:dyDescent="0.3">
      <c r="B9" s="7" t="s">
        <v>77</v>
      </c>
      <c r="C9" s="8" t="s">
        <v>78</v>
      </c>
      <c r="D9" s="9"/>
    </row>
    <row r="10" spans="2:4" ht="16.5" thickBot="1" x14ac:dyDescent="0.3">
      <c r="B10" s="7" t="s">
        <v>79</v>
      </c>
      <c r="C10" s="8" t="s">
        <v>80</v>
      </c>
      <c r="D10" s="9"/>
    </row>
    <row r="11" spans="2:4" ht="16.5" thickBot="1" x14ac:dyDescent="0.3">
      <c r="B11" s="7" t="s">
        <v>81</v>
      </c>
      <c r="C11" s="8" t="s">
        <v>82</v>
      </c>
      <c r="D11" s="9"/>
    </row>
    <row r="12" spans="2:4" ht="16.5" thickBot="1" x14ac:dyDescent="0.3">
      <c r="B12" s="7" t="s">
        <v>83</v>
      </c>
      <c r="C12" s="8" t="s">
        <v>84</v>
      </c>
      <c r="D12" s="9"/>
    </row>
    <row r="13" spans="2:4" ht="16.5" thickBot="1" x14ac:dyDescent="0.3">
      <c r="B13" s="7" t="s">
        <v>85</v>
      </c>
      <c r="C13" s="8" t="s">
        <v>86</v>
      </c>
      <c r="D13" s="9"/>
    </row>
    <row r="14" spans="2:4" ht="16.5" thickBot="1" x14ac:dyDescent="0.3">
      <c r="B14" s="7" t="s">
        <v>87</v>
      </c>
      <c r="C14" s="8" t="s">
        <v>88</v>
      </c>
      <c r="D14" s="9"/>
    </row>
    <row r="15" spans="2:4" ht="16.5" thickBot="1" x14ac:dyDescent="0.3">
      <c r="B15" s="7" t="s">
        <v>89</v>
      </c>
      <c r="C15" s="8" t="s">
        <v>90</v>
      </c>
      <c r="D15" s="9"/>
    </row>
    <row r="16" spans="2:4" ht="16.5" thickBot="1" x14ac:dyDescent="0.3">
      <c r="B16" s="7" t="s">
        <v>91</v>
      </c>
      <c r="C16" s="8" t="s">
        <v>92</v>
      </c>
      <c r="D16" s="9"/>
    </row>
    <row r="17" spans="2:4" ht="16.5" thickBot="1" x14ac:dyDescent="0.3">
      <c r="B17" s="7" t="s">
        <v>93</v>
      </c>
      <c r="C17" s="8" t="s">
        <v>94</v>
      </c>
      <c r="D17" s="9"/>
    </row>
    <row r="18" spans="2:4" ht="16.5" thickBot="1" x14ac:dyDescent="0.3">
      <c r="B18" s="7" t="s">
        <v>95</v>
      </c>
      <c r="C18" s="8" t="s">
        <v>96</v>
      </c>
      <c r="D18" s="9"/>
    </row>
    <row r="19" spans="2:4" ht="16.5" thickBot="1" x14ac:dyDescent="0.3">
      <c r="B19" s="7" t="s">
        <v>97</v>
      </c>
      <c r="C19" s="8" t="s">
        <v>98</v>
      </c>
      <c r="D19" s="9"/>
    </row>
    <row r="20" spans="2:4" ht="16.5" thickBot="1" x14ac:dyDescent="0.3">
      <c r="B20" s="7" t="s">
        <v>99</v>
      </c>
      <c r="C20" s="8"/>
      <c r="D20" s="9"/>
    </row>
    <row r="21" spans="2:4" ht="16.5" thickBot="1" x14ac:dyDescent="0.3">
      <c r="B21" s="10" t="s">
        <v>100</v>
      </c>
      <c r="C21" s="11"/>
      <c r="D21" s="9"/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Yıl</vt:lpstr>
      <vt:lpstr>Elektroniklesme</vt:lpstr>
      <vt:lpstr>Konu</vt:lpstr>
      <vt:lpstr>Dil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Oren,Muge</dc:creator>
  <cp:lastModifiedBy>Oren,Muge</cp:lastModifiedBy>
  <dcterms:created xsi:type="dcterms:W3CDTF">2024-04-09T10:01:52Z</dcterms:created>
  <dcterms:modified xsi:type="dcterms:W3CDTF">2024-04-16T13:19:55Z</dcterms:modified>
</cp:coreProperties>
</file>