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updateLinks="never"/>
  <bookViews>
    <workbookView xWindow="0" yWindow="0" windowWidth="20730" windowHeight="6780" activeTab="1"/>
  </bookViews>
  <sheets>
    <sheet name="RD VE FD-KAPAK" sheetId="7" r:id="rId1"/>
    <sheet name="İSG Risk ve Fırsat Değ." sheetId="4" r:id="rId2"/>
    <sheet name="Sayfa1" sheetId="3" r:id="rId3"/>
  </sheets>
  <definedNames>
    <definedName name="_xlnm._FilterDatabase" localSheetId="1" hidden="1">'İSG Risk ve Fırsat Değ.'!$B$9:$AE$20</definedName>
    <definedName name="_xlnm.Print_Area" localSheetId="1">'İSG Risk ve Fırsat Değ.'!$B$1:$AL$20</definedName>
    <definedName name="_xlnm.Print_Area" localSheetId="0">'RD VE FD-KAPAK'!$A$1:$G$41</definedName>
    <definedName name="_xlnm.Print_Titles" localSheetId="1">'İSG Risk ve Fırsat Değ.'!$9:$9</definedName>
  </definedNam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14" i="4" l="1"/>
  <c r="AB14" i="4"/>
  <c r="AC14" i="4" s="1"/>
  <c r="N14" i="4"/>
  <c r="AB13" i="4"/>
  <c r="AC13" i="4" s="1"/>
  <c r="N13" i="4"/>
  <c r="O14" i="4" l="1"/>
  <c r="O13" i="4"/>
  <c r="AI13" i="4"/>
  <c r="AB20" i="4"/>
  <c r="AC20" i="4" s="1"/>
  <c r="AI20" i="4"/>
  <c r="N20" i="4"/>
  <c r="O20" i="4" s="1"/>
  <c r="AI18" i="4"/>
  <c r="AI19" i="4" l="1"/>
  <c r="AB19" i="4"/>
  <c r="AC19" i="4" s="1"/>
  <c r="AB18" i="4"/>
  <c r="AC18" i="4" s="1"/>
  <c r="N19" i="4"/>
  <c r="O19" i="4" s="1"/>
  <c r="N18" i="4"/>
  <c r="O18" i="4" s="1"/>
  <c r="AI17" i="4" l="1"/>
  <c r="AI16" i="4"/>
  <c r="AI15" i="4" l="1"/>
  <c r="AI12" i="4"/>
  <c r="AI11" i="4"/>
  <c r="N11" i="4" l="1"/>
  <c r="AI10" i="4" l="1"/>
  <c r="AB17" i="4" l="1"/>
  <c r="AC17" i="4" s="1"/>
  <c r="AB16" i="4"/>
  <c r="AC16" i="4" s="1"/>
  <c r="AB15" i="4"/>
  <c r="AC15" i="4" s="1"/>
  <c r="AB12" i="4"/>
  <c r="AC12" i="4" s="1"/>
  <c r="AB11" i="4"/>
  <c r="AC11" i="4" s="1"/>
  <c r="AB10" i="4"/>
  <c r="AC10" i="4" s="1"/>
  <c r="N12" i="4" l="1"/>
  <c r="N15" i="4"/>
  <c r="N16" i="4"/>
  <c r="O16" i="4" s="1"/>
  <c r="N17" i="4"/>
  <c r="O17" i="4" s="1"/>
  <c r="O15" i="4" l="1"/>
  <c r="O12" i="4"/>
  <c r="O11" i="4"/>
  <c r="P2" i="4"/>
  <c r="AE13" i="4" l="1"/>
  <c r="AE14" i="4"/>
  <c r="AE17" i="4"/>
  <c r="AE11" i="4"/>
  <c r="AE18" i="4"/>
  <c r="AE19" i="4"/>
  <c r="AE12" i="4"/>
  <c r="AE16" i="4"/>
  <c r="AE15" i="4"/>
  <c r="AE10" i="4"/>
  <c r="N10" i="4"/>
  <c r="O10" i="4" s="1"/>
  <c r="K3" i="4"/>
  <c r="T5" i="4" l="1"/>
  <c r="T3" i="4"/>
  <c r="T4" i="4"/>
  <c r="T2" i="4"/>
  <c r="T6" i="4" l="1"/>
  <c r="U6" i="4" s="1"/>
  <c r="U3" i="4" l="1"/>
  <c r="U4" i="4"/>
  <c r="U2" i="4"/>
  <c r="U5" i="4"/>
</calcChain>
</file>

<file path=xl/sharedStrings.xml><?xml version="1.0" encoding="utf-8"?>
<sst xmlns="http://schemas.openxmlformats.org/spreadsheetml/2006/main" count="210" uniqueCount="172">
  <si>
    <t>Durum</t>
  </si>
  <si>
    <t>Hedef Tarih</t>
  </si>
  <si>
    <t>AKSİYONLAR</t>
  </si>
  <si>
    <t>Adet</t>
  </si>
  <si>
    <t>%</t>
  </si>
  <si>
    <t>Print tarihi:</t>
  </si>
  <si>
    <t>Hedef Tarihi Geçen</t>
  </si>
  <si>
    <t>Saat:</t>
  </si>
  <si>
    <t>Zaman Var</t>
  </si>
  <si>
    <t>Görüşülecek - Hedef tarih yok</t>
  </si>
  <si>
    <t>Tamamlanan</t>
  </si>
  <si>
    <t>TOTAL</t>
  </si>
  <si>
    <t>No</t>
  </si>
  <si>
    <t>Mevcut durum ve açıklamalar</t>
  </si>
  <si>
    <t>Revize Hedef Tarih</t>
  </si>
  <si>
    <t>Gerçek Bitirme Tarihi</t>
  </si>
  <si>
    <t>Açıklama</t>
  </si>
  <si>
    <t>RİSK DEĞERİ ( R ) = OLASILIK x FREKANS x ŞİDDET</t>
  </si>
  <si>
    <t>DEĞER</t>
  </si>
  <si>
    <t>RİSK DÜZEYİ</t>
  </si>
  <si>
    <t>Düzeltici Faaliyet</t>
  </si>
  <si>
    <t>TERMİN</t>
  </si>
  <si>
    <t>400 &lt; R</t>
  </si>
  <si>
    <t>TOLERE EDİLEMEZ RİSK</t>
  </si>
  <si>
    <t xml:space="preserve">Derhal gerekli önlemler alınmalıdır. </t>
  </si>
  <si>
    <t>1 Hafta İçinde</t>
  </si>
  <si>
    <t>200 &lt; R &lt; 400</t>
  </si>
  <si>
    <t>YÜKSEK RİSK</t>
  </si>
  <si>
    <t>Kısa dönemde iyileştirilmelidir.</t>
  </si>
  <si>
    <t>1 Ay İçinde</t>
  </si>
  <si>
    <t>70 &lt; R &lt; 200</t>
  </si>
  <si>
    <t>ÖNEMLİ RİSK</t>
  </si>
  <si>
    <t>Uzun dönemde iyileştirilmelidir.</t>
  </si>
  <si>
    <t>6 Ay İçinde</t>
  </si>
  <si>
    <t>20 &lt; R &lt; 70</t>
  </si>
  <si>
    <t>OLASI RİSK</t>
  </si>
  <si>
    <t xml:space="preserve">Gözetim altında tutulmalıdır. </t>
  </si>
  <si>
    <t>1 Yıl İçinde</t>
  </si>
  <si>
    <t>R &lt; 20</t>
  </si>
  <si>
    <t>DÜŞÜK RİSK</t>
  </si>
  <si>
    <t>Uzun vadeli planlama, iyileştirme</t>
  </si>
  <si>
    <t>Kontrol</t>
  </si>
  <si>
    <t>Kaynak</t>
  </si>
  <si>
    <t>İş Kazası</t>
  </si>
  <si>
    <t>Ramak Kala</t>
  </si>
  <si>
    <t>Risk Analizi</t>
  </si>
  <si>
    <t>Evrak Denetimi</t>
  </si>
  <si>
    <t>İSG Kurul</t>
  </si>
  <si>
    <t>İç Denetim</t>
  </si>
  <si>
    <t>Dış Denetim</t>
  </si>
  <si>
    <t xml:space="preserve">Acil Durum </t>
  </si>
  <si>
    <t>Feedback (mail, ticket vb.)</t>
  </si>
  <si>
    <t>Planlı Saha Denetimi</t>
  </si>
  <si>
    <t>Plansız Saha Denetimi</t>
  </si>
  <si>
    <t>OLASILIK DEĞERİ</t>
  </si>
  <si>
    <r>
      <t xml:space="preserve">OLASILIK
</t>
    </r>
    <r>
      <rPr>
        <sz val="12"/>
        <rFont val="Calibri"/>
        <family val="2"/>
        <charset val="162"/>
        <scheme val="minor"/>
      </rPr>
      <t>(Zararın Gerçekleşme Olasılığı)</t>
    </r>
  </si>
  <si>
    <t>FREKANS DEĞERİ</t>
  </si>
  <si>
    <t>ŞİDDET DEĞERİ</t>
  </si>
  <si>
    <t>ŞİDDET
(İnsan ve/veya Çevre Üzerine Yaratacağı Tahmini Zarar)</t>
  </si>
  <si>
    <r>
      <rPr>
        <b/>
        <sz val="12"/>
        <rFont val="Calibri"/>
        <family val="2"/>
        <charset val="162"/>
        <scheme val="minor"/>
      </rPr>
      <t>Büyük olasılıkla</t>
    </r>
    <r>
      <rPr>
        <sz val="12"/>
        <rFont val="Calibri"/>
        <family val="2"/>
        <charset val="162"/>
        <scheme val="minor"/>
      </rPr>
      <t xml:space="preserve">
Kontrol Yok, Daha önce ölümcül kazalar yaşanmış.</t>
    </r>
  </si>
  <si>
    <r>
      <t xml:space="preserve">Hemen Hemen Sürekli
</t>
    </r>
    <r>
      <rPr>
        <b/>
        <sz val="12"/>
        <rFont val="Calibri"/>
        <family val="2"/>
        <charset val="162"/>
        <scheme val="minor"/>
      </rPr>
      <t>Saatte Birkaç Defa</t>
    </r>
  </si>
  <si>
    <t>Birden Fazla Ölümlü Kaza
Çevresel Felaket</t>
  </si>
  <si>
    <r>
      <rPr>
        <b/>
        <sz val="12"/>
        <rFont val="Calibri"/>
        <family val="2"/>
        <charset val="162"/>
        <scheme val="minor"/>
      </rPr>
      <t>Olması muhtemel</t>
    </r>
    <r>
      <rPr>
        <sz val="12"/>
        <rFont val="Calibri"/>
        <family val="2"/>
        <charset val="162"/>
        <scheme val="minor"/>
      </rPr>
      <t xml:space="preserve">
Kontrol mevcut değil, kkd, uyarı işaretleri ve eğitim sağlanmamış, sık sık kazalar atlatılmakta.</t>
    </r>
  </si>
  <si>
    <r>
      <t xml:space="preserve">Sık
</t>
    </r>
    <r>
      <rPr>
        <b/>
        <sz val="12"/>
        <rFont val="Calibri"/>
        <family val="2"/>
        <charset val="162"/>
        <scheme val="minor"/>
      </rPr>
      <t>Günde Bir veya Birkaç Defa</t>
    </r>
  </si>
  <si>
    <t>Ölümlü Kaza
Ciddi Çevresel Zarar</t>
  </si>
  <si>
    <r>
      <rPr>
        <b/>
        <sz val="12"/>
        <rFont val="Calibri"/>
        <family val="2"/>
        <charset val="162"/>
        <scheme val="minor"/>
      </rPr>
      <t>Olası</t>
    </r>
    <r>
      <rPr>
        <sz val="12"/>
        <rFont val="Calibri"/>
        <family val="2"/>
        <charset val="162"/>
        <scheme val="minor"/>
      </rPr>
      <t xml:space="preserve">
Orta derecede kontrol mevcut, ara sıra kazalar atlatılmakta.</t>
    </r>
  </si>
  <si>
    <r>
      <t xml:space="preserve">Ara Sıra
</t>
    </r>
    <r>
      <rPr>
        <b/>
        <sz val="12"/>
        <rFont val="Calibri"/>
        <family val="2"/>
        <charset val="162"/>
        <scheme val="minor"/>
      </rPr>
      <t>Haftada Bir veya Birkaç Defa</t>
    </r>
  </si>
  <si>
    <t xml:space="preserve">Kalıcı Hasar/Yaralanma
İş Kaybı </t>
  </si>
  <si>
    <r>
      <rPr>
        <b/>
        <sz val="12"/>
        <rFont val="Calibri"/>
        <family val="2"/>
        <charset val="162"/>
        <scheme val="minor"/>
      </rPr>
      <t>Mümkün Fakat Düşük</t>
    </r>
    <r>
      <rPr>
        <sz val="12"/>
        <rFont val="Calibri"/>
        <family val="2"/>
        <charset val="162"/>
        <scheme val="minor"/>
      </rPr>
      <t xml:space="preserve">
Muhtemel Olmayan, kontroller iyi.</t>
    </r>
  </si>
  <si>
    <r>
      <t xml:space="preserve">Sık Değil
</t>
    </r>
    <r>
      <rPr>
        <b/>
        <sz val="12"/>
        <rFont val="Calibri"/>
        <family val="2"/>
        <charset val="162"/>
        <scheme val="minor"/>
      </rPr>
      <t>Ayda Bir veya Birkaç Defa</t>
    </r>
  </si>
  <si>
    <t>Önemli Hasar / Yaralanma
Dış İlkyardım</t>
  </si>
  <si>
    <t>Beklenmez Fakat Mümkün</t>
  </si>
  <si>
    <r>
      <t xml:space="preserve">Seyrek
</t>
    </r>
    <r>
      <rPr>
        <b/>
        <sz val="12"/>
        <rFont val="Calibri"/>
        <family val="2"/>
        <charset val="162"/>
        <scheme val="minor"/>
      </rPr>
      <t>Yılda Birkaç Defa</t>
    </r>
  </si>
  <si>
    <t>Küçük Hasar / Yaralanma
 İç İlkyardım</t>
  </si>
  <si>
    <t>Beklenmez</t>
  </si>
  <si>
    <r>
      <t xml:space="preserve">Çok Seyrek
</t>
    </r>
    <r>
      <rPr>
        <b/>
        <sz val="12"/>
        <rFont val="Calibri"/>
        <family val="2"/>
        <charset val="162"/>
        <scheme val="minor"/>
      </rPr>
      <t>Yılda Bir veya Daha Az</t>
    </r>
  </si>
  <si>
    <t>Ucuz Atlatma
Çevresel Zarar Yok</t>
  </si>
  <si>
    <t>Olasılık</t>
  </si>
  <si>
    <t>Sıklık</t>
  </si>
  <si>
    <t>Zarar</t>
  </si>
  <si>
    <t>Risk Skoru</t>
  </si>
  <si>
    <t>Risk Düzeyi</t>
  </si>
  <si>
    <t>Termin</t>
  </si>
  <si>
    <t>400&lt;R</t>
  </si>
  <si>
    <t>Sürekli</t>
  </si>
  <si>
    <t>200&lt;R&lt;400</t>
  </si>
  <si>
    <t>70&lt;R&lt;200</t>
  </si>
  <si>
    <t>20&lt;R&lt;70</t>
  </si>
  <si>
    <t>R&lt;20</t>
  </si>
  <si>
    <t>Pandemi Denetimi</t>
  </si>
  <si>
    <t>Bölüm / Faaliyet Alanı / Süreç / Faaliyet Türü /</t>
  </si>
  <si>
    <t>Tespit Tarihi</t>
  </si>
  <si>
    <t>Revizyon Tarihi</t>
  </si>
  <si>
    <t>Revizyon Nedeni</t>
  </si>
  <si>
    <t>Tehlike Kaynakları ile Tehlikeler</t>
  </si>
  <si>
    <t>Risk</t>
  </si>
  <si>
    <t>Etkilenenler</t>
  </si>
  <si>
    <t>FIRSAT DEĞERLENDİRME</t>
  </si>
  <si>
    <t xml:space="preserve">Fırsatlar </t>
  </si>
  <si>
    <t>Pozitif Etki</t>
  </si>
  <si>
    <t>Fırsat Etki Değeri</t>
  </si>
  <si>
    <t>Sorumlu</t>
  </si>
  <si>
    <t>Kapatma Tarihi</t>
  </si>
  <si>
    <t>TEHLİKELERE GÖRE RİSK SEVİYESİNİN TESPİT TABLOSU</t>
  </si>
  <si>
    <t>Mevcut Durumda Risk Derecelendirilmesi</t>
  </si>
  <si>
    <t>RİSK KONTROL TEDBİRLERİNİN UYGULAMA PLANI</t>
  </si>
  <si>
    <t>Sorumlu Kişi ya da İşyeri Bölümü</t>
  </si>
  <si>
    <t>OLASILIK TABLOSU</t>
  </si>
  <si>
    <t>POZİTİF ETKİ TABLOSU</t>
  </si>
  <si>
    <t>Çok düşük olasılık (daha önce olmadı)</t>
  </si>
  <si>
    <t>Hemen hemen hiç</t>
  </si>
  <si>
    <t xml:space="preserve">Çok düşük </t>
  </si>
  <si>
    <t>Önemsiz (Etki Yok)
Hemen hemen hiç etkilemez.</t>
  </si>
  <si>
    <t>Hafif (nadiren oluşur)</t>
  </si>
  <si>
    <t>5 Yılda bir.</t>
  </si>
  <si>
    <t xml:space="preserve">Düşük </t>
  </si>
  <si>
    <t>Etkisi düşüktür.
Minör (Az Etkisi var)</t>
  </si>
  <si>
    <t>Olası (mümkün, ancak yaygın değil)</t>
  </si>
  <si>
    <t>Yılda bir.</t>
  </si>
  <si>
    <t>Orta</t>
  </si>
  <si>
    <t>Dikkate Değer (Ilımlı Gelişme Var)
Etkisi vardır ancak zamanla yitirilir.</t>
  </si>
  <si>
    <t>Muhtemel (önceden var, tekrar edecek)</t>
  </si>
  <si>
    <t>6 ayda bir.</t>
  </si>
  <si>
    <t xml:space="preserve">Yüksek </t>
  </si>
  <si>
    <t>Etkilidir.
Majör (Büyük Gelişme Mevcut)</t>
  </si>
  <si>
    <t>Çok muhtemel (sık gerçekleşir)</t>
  </si>
  <si>
    <t>Ayda bir.</t>
  </si>
  <si>
    <t xml:space="preserve">Çok Yüksek </t>
  </si>
  <si>
    <t>Çok etkilidir.
Olağanüstü (İstisnai İyileştirme Mevcut)</t>
  </si>
  <si>
    <t>Fırsat Yönetimi Tepki Stratejileri</t>
  </si>
  <si>
    <t>FIRSAT ETKİ DEĞERİ</t>
  </si>
  <si>
    <t>Geliştirme - faydanın en üst düzeye çıkarılması için fırsatın olasılığını ve / veya etkisini artırmayı amaçlamaktadır.</t>
  </si>
  <si>
    <t>20-25</t>
  </si>
  <si>
    <t>Sürekli iyileştirme açısından çok etkin bir değerdir. Fırsatı kaybetmemek ve iyi değerlendirmek için olağan üstü bir gayret gösterilir.</t>
  </si>
  <si>
    <t>Yoksay - küçük fırsatlar göz ardı edilebilir, herhangi bir işlem yapmadan reaktif bir yaklaşım benimseyerek</t>
  </si>
  <si>
    <t>12-19</t>
  </si>
  <si>
    <t>Geliştirilmelidir. Fırsattan maksimum fayda sağlayabilmek için olasılık ve etkisinin artırılmasına çalışılır.</t>
  </si>
  <si>
    <t>Paylaşın - olasılığı ve / veya muhtemel fayda olasılığını artırabilecek bir fırsatı yönetebilen bir ortak / paydaş arayın</t>
  </si>
  <si>
    <t>5-11</t>
  </si>
  <si>
    <t>Takip edilmelidir. Fırsatın yaratması muhtemel faydalar takip edilerek geliştirilme olasılıkları değerlendirilmelidir.</t>
  </si>
  <si>
    <t>Exploit - Fırsatın fayda sağlandığından emin olmak için agresif önlemler alarak fırsatın olmasını sağlamaya çalışın</t>
  </si>
  <si>
    <t>1-4</t>
  </si>
  <si>
    <t>Yok sayılabilir. Her fırsat firmamızın menfaatlerine uygun olmayabilir.</t>
  </si>
  <si>
    <t>Yok say - küçük fırsatlar göz ardı edilebilir, herhangi bir işlem yapmadan reaktif bir yaklaşım benimseyerek</t>
  </si>
  <si>
    <t>OLASILIK: Riski aldığımız tedbirlerle iyi bir şekilde yönettiğimizde firmamızın bundan sağlayacağı fayda/ yarar/ fırsat oluşma olasılığını kast ediyoruz.</t>
  </si>
  <si>
    <t>ETKİ: Etki ise olasılık gerçekleştiğinde firmamızı pozitif anlamda ne kadar etkiler şeklinde düşünerek kategorilendiriyoruz.</t>
  </si>
  <si>
    <r>
      <t>Eylem, olay ve durumların negatif, pozitif ve bazen hem negatif hem pozitif etkileri olabilir. Negatif sonuçları olan eylem, olay ve durumlar tehditler/tehlikelerdir. Fırsatlar ise pozitif sonuçları olan olaylardır.</t>
    </r>
    <r>
      <rPr>
        <sz val="12"/>
        <color rgb="FF337AB7"/>
        <rFont val="Arial"/>
        <family val="2"/>
        <charset val="162"/>
      </rPr>
      <t>[1]</t>
    </r>
    <r>
      <rPr>
        <sz val="12"/>
        <color rgb="FF333333"/>
        <rFont val="Arial"/>
        <family val="2"/>
        <charset val="162"/>
      </rPr>
      <t xml:space="preserve"> Fırsat, amaçların gerçekleştirilmesine olumlu katkıda bulunacak eylem, olay ve durumlardır. Fırsatlar değer yaratmaya imkan sağlayan veya mevcut değerlerin korunmasını destekleyen eylem, olay ve durumlardır. Yönetimler ancak bu fırsatları değerlendirerek belirledikleri strateji ve hedefler doğrultusunda yeni fırsatlar yakalayabilirler.</t>
    </r>
    <r>
      <rPr>
        <sz val="12"/>
        <color rgb="FF337AB7"/>
        <rFont val="Arial"/>
        <family val="2"/>
        <charset val="162"/>
      </rPr>
      <t>[2]</t>
    </r>
    <r>
      <rPr>
        <sz val="12"/>
        <color rgb="FF333333"/>
        <rFont val="Arial"/>
        <family val="2"/>
        <charset val="162"/>
      </rPr>
      <t xml:space="preserve"> Ayrıca fırsatlar, tehditlerin amaçlar üzerindeki olumsuz etkilerini dengeler.</t>
    </r>
  </si>
  <si>
    <t>Gelecekteki eylem, olay ve durumların kurum için tehdit mi yoksa fırsat mı olacağı bunlar gerçekleşmeden, önceden kesin olarak bilinemez. Zira tehdit olarak tanımlanan ve amaçlara/hedeflere olumsuz etkisi olacağı düşünülen eylem, olay ve durumların gerçekleşmesinden sonra sonuçlarının amaçlara/hedeflere olumlu etkisi olabilir yani sonuçta kurum için bir fırsat olabilir. Ya da tehdidin olumsuz etkileri ile birlikte olumlu etkileri de olabilir. Benzer şekilde amaçlara/hedeflere olumlu etkisi olacağı düşünülen eylem, olay ve durumların gerçekleşmesinden sonra sonuçlarının amaçlara/hedeflere olumsuz etkileri olabilir yani kurum için bir tehdit olabilir. Ya da fırsatın olumlu etkileri ile birlikte olumsuz etkileri de olabilir. Örneğin, yeni teknoloji kullanılması kararı önemli ölçüde risk (tehdit) içermesine karşın; rekabetçi bir ürünle pazara hakim olmayı sağlayarak bir fırsat haline de dönüşebilir.</t>
  </si>
  <si>
    <t>Ad - Soyad</t>
  </si>
  <si>
    <t xml:space="preserve">Görevi </t>
  </si>
  <si>
    <t>İmza</t>
  </si>
  <si>
    <t xml:space="preserve">RİSK DEĞERLENDİRME METODU
(İlgili açıklamalar "İSG Risk ve Fırsat Değerlendirme Prosedürü"nde yer almaktadır. ) </t>
  </si>
  <si>
    <r>
      <t xml:space="preserve">FREKANS /SIKLIK
</t>
    </r>
    <r>
      <rPr>
        <sz val="12"/>
        <rFont val="Calibri"/>
        <family val="2"/>
        <charset val="162"/>
        <scheme val="minor"/>
      </rPr>
      <t>(Zaman İçerisinde Tehlikeye Maruz Kalma Tekrarı)</t>
    </r>
  </si>
  <si>
    <t>-</t>
  </si>
  <si>
    <t>Alınacak Önlemler/ Aksiyonlar</t>
  </si>
  <si>
    <t>Kontrol Sıklığı</t>
  </si>
  <si>
    <t>Kontrol Şekli</t>
  </si>
  <si>
    <t>Kontrol Türü</t>
  </si>
  <si>
    <t>Kontrol Kayıtları</t>
  </si>
  <si>
    <t>KONTROL / DÜZELTİCİ VE ÖNLEYİCİ FAALİYET DEĞERLENDİRME TABLOSU</t>
  </si>
  <si>
    <t>İSG RİSK VE FIRSAT DEĞERLENDİRMESİ</t>
  </si>
  <si>
    <t xml:space="preserve">İŞYERİNİN ADI: </t>
  </si>
  <si>
    <t xml:space="preserve">DEĞERLENDİRME TARİHİ: </t>
  </si>
  <si>
    <t xml:space="preserve">BİNA/ETKİNLİK ADI: </t>
  </si>
  <si>
    <t xml:space="preserve">GEÇERLİLİK TARİHİ: </t>
  </si>
  <si>
    <t xml:space="preserve">BÖLÜM: </t>
  </si>
  <si>
    <t xml:space="preserve">İŞYERİ SİCİL NO: </t>
  </si>
  <si>
    <t xml:space="preserve">TEHLİKE SINIFI: </t>
  </si>
  <si>
    <t xml:space="preserve">ALAN / ODA: </t>
  </si>
  <si>
    <t>FIRSAT DEĞERLENDİRME METODU</t>
  </si>
  <si>
    <t>RİSK VE FIRSAT DEĞERLENDİRME EKİBİ</t>
  </si>
  <si>
    <t xml:space="preserve">İŞYERİ ADRESİ: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</si>
</sst>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yy;@"/>
    <numFmt numFmtId="165" formatCode="0.0"/>
  </numFmts>
  <fonts count="34">
    <font>
      <sz val="10"/>
      <name val="Arial"/>
      <charset val="162"/>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0"/>
      <name val="Arial"/>
      <family val="2"/>
      <charset val="162"/>
    </font>
    <font>
      <b/>
      <sz val="10"/>
      <name val="Calibri"/>
      <family val="2"/>
      <charset val="162"/>
      <scheme val="minor"/>
    </font>
    <font>
      <sz val="11"/>
      <name val="Calibri"/>
      <family val="2"/>
      <charset val="162"/>
      <scheme val="minor"/>
    </font>
    <font>
      <b/>
      <sz val="11"/>
      <color theme="1"/>
      <name val="Calibri"/>
      <family val="2"/>
      <charset val="162"/>
      <scheme val="minor"/>
    </font>
    <font>
      <b/>
      <sz val="12"/>
      <name val="Calibri"/>
      <family val="2"/>
      <charset val="162"/>
      <scheme val="minor"/>
    </font>
    <font>
      <sz val="12"/>
      <name val="Calibri"/>
      <family val="2"/>
      <charset val="162"/>
      <scheme val="minor"/>
    </font>
    <font>
      <sz val="10"/>
      <name val="Calibri"/>
      <family val="2"/>
      <charset val="162"/>
      <scheme val="minor"/>
    </font>
    <font>
      <sz val="10"/>
      <name val="Arial Tur"/>
      <charset val="162"/>
    </font>
    <font>
      <b/>
      <sz val="11"/>
      <name val="Calibri"/>
      <family val="2"/>
      <charset val="162"/>
      <scheme val="minor"/>
    </font>
    <font>
      <sz val="9"/>
      <name val="Calibri"/>
      <family val="2"/>
      <charset val="162"/>
      <scheme val="minor"/>
    </font>
    <font>
      <b/>
      <sz val="12"/>
      <color theme="0"/>
      <name val="Calibri"/>
      <family val="2"/>
      <charset val="162"/>
      <scheme val="minor"/>
    </font>
    <font>
      <b/>
      <sz val="14"/>
      <name val="Calibri"/>
      <family val="2"/>
      <charset val="162"/>
      <scheme val="minor"/>
    </font>
    <font>
      <b/>
      <sz val="12"/>
      <color rgb="FFFFFFFF"/>
      <name val="Calibri"/>
      <family val="2"/>
      <charset val="162"/>
      <scheme val="minor"/>
    </font>
    <font>
      <b/>
      <sz val="14"/>
      <color theme="1"/>
      <name val="Calibri"/>
      <family val="2"/>
      <charset val="162"/>
      <scheme val="minor"/>
    </font>
    <font>
      <sz val="11"/>
      <name val="Arial Tur"/>
      <charset val="162"/>
    </font>
    <font>
      <sz val="14"/>
      <name val="Arial Tur"/>
      <charset val="162"/>
    </font>
    <font>
      <sz val="12"/>
      <name val="Arial Tur"/>
      <charset val="162"/>
    </font>
    <font>
      <b/>
      <sz val="11"/>
      <color theme="0"/>
      <name val="Calibri"/>
      <family val="2"/>
      <charset val="162"/>
      <scheme val="minor"/>
    </font>
    <font>
      <b/>
      <sz val="14"/>
      <color theme="0"/>
      <name val="Calibri"/>
      <family val="2"/>
      <charset val="162"/>
      <scheme val="minor"/>
    </font>
    <font>
      <sz val="12"/>
      <color theme="1"/>
      <name val="Calibri"/>
      <family val="2"/>
      <scheme val="minor"/>
    </font>
    <font>
      <b/>
      <sz val="16"/>
      <color theme="1"/>
      <name val="Calibri"/>
      <family val="2"/>
      <charset val="162"/>
      <scheme val="minor"/>
    </font>
    <font>
      <sz val="11"/>
      <color theme="1"/>
      <name val="Calibri"/>
      <family val="2"/>
      <scheme val="minor"/>
    </font>
    <font>
      <sz val="12"/>
      <color rgb="FF333333"/>
      <name val="Arial"/>
      <family val="2"/>
      <charset val="162"/>
    </font>
    <font>
      <sz val="12"/>
      <color rgb="FF337AB7"/>
      <name val="Arial"/>
      <family val="2"/>
      <charset val="162"/>
    </font>
    <font>
      <b/>
      <sz val="20"/>
      <name val="Calibri"/>
      <family val="2"/>
      <charset val="162"/>
      <scheme val="minor"/>
    </font>
    <font>
      <sz val="18"/>
      <name val="Arial Tur"/>
      <charset val="162"/>
    </font>
    <font>
      <b/>
      <sz val="12"/>
      <color theme="1"/>
      <name val="Calibri"/>
      <family val="2"/>
      <charset val="162"/>
      <scheme val="minor"/>
    </font>
    <font>
      <b/>
      <sz val="13"/>
      <name val="Calibri"/>
      <family val="2"/>
      <charset val="162"/>
      <scheme val="minor"/>
    </font>
    <font>
      <sz val="13"/>
      <name val="Calibri"/>
      <family val="2"/>
      <charset val="162"/>
      <scheme val="minor"/>
    </font>
    <font>
      <sz val="13"/>
      <name val="Arial Tur"/>
      <charset val="162"/>
    </font>
  </fonts>
  <fills count="24">
    <fill>
      <patternFill patternType="none"/>
    </fill>
    <fill>
      <patternFill patternType="gray125"/>
    </fill>
    <fill>
      <patternFill patternType="solid">
        <fgColor indexed="10"/>
        <bgColor indexed="64"/>
      </patternFill>
    </fill>
    <fill>
      <patternFill patternType="solid">
        <fgColor rgb="FFFF0000"/>
        <bgColor indexed="64"/>
      </patternFill>
    </fill>
    <fill>
      <patternFill patternType="solid">
        <fgColor rgb="FF00CCFF"/>
        <bgColor indexed="64"/>
      </patternFill>
    </fill>
    <fill>
      <patternFill patternType="solid">
        <fgColor indexed="52"/>
        <bgColor indexed="64"/>
      </patternFill>
    </fill>
    <fill>
      <patternFill patternType="solid">
        <fgColor rgb="FF92D050"/>
        <bgColor indexed="64"/>
      </patternFill>
    </fill>
    <fill>
      <patternFill patternType="solid">
        <fgColor theme="0"/>
        <bgColor indexed="64"/>
      </patternFill>
    </fill>
    <fill>
      <patternFill patternType="solid">
        <fgColor rgb="FFFF9900"/>
        <bgColor indexed="64"/>
      </patternFill>
    </fill>
    <fill>
      <patternFill patternType="solid">
        <fgColor rgb="FF00B0F0"/>
        <bgColor indexed="64"/>
      </patternFill>
    </fill>
    <fill>
      <patternFill patternType="solid">
        <fgColor rgb="FFDAEEF3"/>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8" tint="0.59999389629810485"/>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8"/>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9" tint="0.399975585192419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s>
  <cellStyleXfs count="14">
    <xf numFmtId="0" fontId="0" fillId="0" borderId="0"/>
    <xf numFmtId="0" fontId="3" fillId="0" borderId="0"/>
    <xf numFmtId="0" fontId="3" fillId="0" borderId="0"/>
    <xf numFmtId="0" fontId="4" fillId="0" borderId="0"/>
    <xf numFmtId="0" fontId="11" fillId="0" borderId="0"/>
    <xf numFmtId="0" fontId="11" fillId="0" borderId="0"/>
    <xf numFmtId="0" fontId="4" fillId="0" borderId="0"/>
    <xf numFmtId="9" fontId="11" fillId="0" borderId="0" applyFont="0" applyFill="0" applyBorder="0" applyAlignment="0" applyProtection="0"/>
    <xf numFmtId="0" fontId="4" fillId="0" borderId="0"/>
    <xf numFmtId="0" fontId="4" fillId="0" borderId="0"/>
    <xf numFmtId="0" fontId="2" fillId="0" borderId="0"/>
    <xf numFmtId="0" fontId="23" fillId="0" borderId="0"/>
    <xf numFmtId="0" fontId="25" fillId="0" borderId="0"/>
    <xf numFmtId="0" fontId="1" fillId="0" borderId="0"/>
  </cellStyleXfs>
  <cellXfs count="225">
    <xf numFmtId="0" fontId="0" fillId="0" borderId="0" xfId="0"/>
    <xf numFmtId="0" fontId="0" fillId="0" borderId="1" xfId="0" applyBorder="1"/>
    <xf numFmtId="0" fontId="9" fillId="0" borderId="0" xfId="3" applyFont="1" applyFill="1" applyBorder="1" applyAlignment="1">
      <alignment vertical="center"/>
    </xf>
    <xf numFmtId="0" fontId="10" fillId="0" borderId="0" xfId="3" applyFont="1" applyFill="1" applyBorder="1" applyAlignment="1">
      <alignment vertical="center"/>
    </xf>
    <xf numFmtId="15" fontId="10" fillId="0" borderId="0" xfId="4" applyNumberFormat="1" applyFont="1" applyFill="1" applyBorder="1" applyAlignment="1" applyProtection="1">
      <alignment horizontal="center" vertical="center" wrapText="1"/>
    </xf>
    <xf numFmtId="1" fontId="9" fillId="0" borderId="0" xfId="3" applyNumberFormat="1" applyFont="1" applyFill="1" applyBorder="1" applyAlignment="1">
      <alignment horizontal="center" vertical="center"/>
    </xf>
    <xf numFmtId="0" fontId="8" fillId="0" borderId="1" xfId="3" applyFont="1" applyFill="1" applyBorder="1" applyAlignment="1">
      <alignment horizontal="left" vertical="center" wrapText="1"/>
    </xf>
    <xf numFmtId="2" fontId="9" fillId="0" borderId="0" xfId="3" applyNumberFormat="1" applyFont="1" applyFill="1" applyBorder="1" applyAlignment="1">
      <alignment vertical="center"/>
    </xf>
    <xf numFmtId="0" fontId="9" fillId="0" borderId="0" xfId="3" applyFont="1" applyFill="1" applyBorder="1" applyAlignment="1">
      <alignment vertical="center" wrapText="1"/>
    </xf>
    <xf numFmtId="0" fontId="9" fillId="0" borderId="0" xfId="5" applyNumberFormat="1" applyFont="1" applyFill="1" applyBorder="1" applyAlignment="1">
      <alignment horizontal="center" vertical="center" wrapText="1"/>
    </xf>
    <xf numFmtId="0" fontId="9" fillId="0" borderId="0" xfId="5" applyFont="1" applyFill="1" applyBorder="1" applyAlignment="1">
      <alignment vertical="center" wrapText="1"/>
    </xf>
    <xf numFmtId="0" fontId="9" fillId="0" borderId="0" xfId="5" applyFont="1" applyFill="1" applyBorder="1" applyAlignment="1">
      <alignment vertical="center"/>
    </xf>
    <xf numFmtId="0" fontId="9" fillId="0" borderId="0" xfId="5" applyFont="1" applyBorder="1" applyAlignment="1">
      <alignment vertical="center"/>
    </xf>
    <xf numFmtId="15" fontId="9" fillId="0" borderId="0" xfId="3" applyNumberFormat="1" applyFont="1" applyFill="1" applyBorder="1" applyAlignment="1">
      <alignment vertical="center"/>
    </xf>
    <xf numFmtId="0" fontId="10" fillId="0" borderId="0" xfId="3" applyFont="1" applyFill="1" applyBorder="1" applyAlignment="1">
      <alignment horizontal="center" vertical="center" wrapText="1"/>
    </xf>
    <xf numFmtId="1" fontId="8" fillId="0" borderId="0" xfId="3" applyNumberFormat="1" applyFont="1" applyFill="1" applyBorder="1" applyAlignment="1">
      <alignment horizontal="right" vertical="center" wrapText="1"/>
    </xf>
    <xf numFmtId="1" fontId="8" fillId="0" borderId="0" xfId="4" applyNumberFormat="1" applyFont="1" applyFill="1" applyBorder="1" applyAlignment="1">
      <alignment horizontal="left" vertical="center" wrapText="1"/>
    </xf>
    <xf numFmtId="2" fontId="9" fillId="0" borderId="0" xfId="3" applyNumberFormat="1" applyFont="1" applyFill="1" applyBorder="1" applyAlignment="1">
      <alignment vertical="center" wrapText="1"/>
    </xf>
    <xf numFmtId="0" fontId="9" fillId="0" borderId="0" xfId="4" applyFont="1" applyBorder="1" applyAlignment="1">
      <alignment horizontal="left" vertical="center" wrapText="1"/>
    </xf>
    <xf numFmtId="1" fontId="10" fillId="0" borderId="0" xfId="6" applyNumberFormat="1" applyFont="1" applyFill="1" applyBorder="1" applyAlignment="1">
      <alignment horizontal="center" vertical="center" wrapText="1"/>
    </xf>
    <xf numFmtId="20" fontId="8" fillId="0" borderId="0" xfId="4" applyNumberFormat="1" applyFont="1" applyFill="1" applyBorder="1" applyAlignment="1" applyProtection="1">
      <alignment horizontal="center" vertical="center"/>
    </xf>
    <xf numFmtId="0" fontId="9" fillId="0" borderId="0" xfId="4" applyFont="1" applyBorder="1" applyAlignment="1">
      <alignment horizontal="left" vertical="center"/>
    </xf>
    <xf numFmtId="0" fontId="10" fillId="0" borderId="0" xfId="3" quotePrefix="1" applyFont="1" applyFill="1" applyBorder="1" applyAlignment="1">
      <alignment horizontal="left" vertical="center"/>
    </xf>
    <xf numFmtId="164" fontId="8" fillId="0" borderId="0" xfId="3" applyNumberFormat="1" applyFont="1" applyFill="1" applyBorder="1" applyAlignment="1">
      <alignment horizontal="left" vertical="center"/>
    </xf>
    <xf numFmtId="0" fontId="8" fillId="0" borderId="0" xfId="3" applyFont="1" applyFill="1" applyBorder="1" applyAlignment="1">
      <alignment horizontal="center" vertical="center" wrapText="1"/>
    </xf>
    <xf numFmtId="2" fontId="8" fillId="0" borderId="0" xfId="3" applyNumberFormat="1" applyFont="1" applyFill="1" applyBorder="1" applyAlignment="1">
      <alignment vertical="center" wrapText="1"/>
    </xf>
    <xf numFmtId="15" fontId="8" fillId="0" borderId="0" xfId="3" applyNumberFormat="1" applyFont="1" applyFill="1" applyBorder="1" applyAlignment="1">
      <alignment horizontal="center" vertical="center" wrapText="1"/>
    </xf>
    <xf numFmtId="9" fontId="8" fillId="0" borderId="0" xfId="7" applyFont="1" applyBorder="1" applyAlignment="1" applyProtection="1">
      <alignment horizontal="center" vertical="center"/>
    </xf>
    <xf numFmtId="1" fontId="8" fillId="0" borderId="0" xfId="3" applyNumberFormat="1" applyFont="1" applyFill="1" applyBorder="1" applyAlignment="1">
      <alignment horizontal="left" vertical="center"/>
    </xf>
    <xf numFmtId="15" fontId="9" fillId="0" borderId="0" xfId="3" applyNumberFormat="1" applyFont="1" applyFill="1" applyBorder="1" applyAlignment="1">
      <alignment vertical="center" wrapText="1"/>
    </xf>
    <xf numFmtId="1" fontId="8" fillId="0" borderId="0" xfId="6" applyNumberFormat="1" applyFont="1" applyFill="1" applyBorder="1" applyAlignment="1">
      <alignment horizontal="center" vertical="center" wrapText="1"/>
    </xf>
    <xf numFmtId="9" fontId="5" fillId="0" borderId="0" xfId="7" applyFont="1" applyBorder="1" applyAlignment="1" applyProtection="1">
      <alignment horizontal="center" vertical="center"/>
    </xf>
    <xf numFmtId="0" fontId="9" fillId="0" borderId="0" xfId="3" quotePrefix="1" applyFont="1" applyFill="1" applyBorder="1" applyAlignment="1">
      <alignment horizontal="left" vertical="center"/>
    </xf>
    <xf numFmtId="1" fontId="8" fillId="0" borderId="0" xfId="7" applyNumberFormat="1" applyFont="1" applyFill="1" applyBorder="1" applyAlignment="1" applyProtection="1">
      <alignment horizontal="left" vertical="center" wrapText="1"/>
    </xf>
    <xf numFmtId="49" fontId="8" fillId="0" borderId="0" xfId="8" applyNumberFormat="1" applyFont="1" applyFill="1" applyBorder="1" applyAlignment="1">
      <alignment horizontal="center" vertical="center" wrapText="1"/>
    </xf>
    <xf numFmtId="49" fontId="9" fillId="0" borderId="0" xfId="8" applyNumberFormat="1" applyFont="1" applyFill="1" applyBorder="1" applyAlignment="1">
      <alignment vertical="center" wrapText="1"/>
    </xf>
    <xf numFmtId="0" fontId="9" fillId="0" borderId="0" xfId="8" applyNumberFormat="1" applyFont="1" applyFill="1" applyBorder="1" applyAlignment="1">
      <alignment vertical="center" wrapText="1"/>
    </xf>
    <xf numFmtId="2" fontId="9" fillId="0" borderId="0" xfId="3" applyNumberFormat="1" applyFont="1" applyBorder="1" applyAlignment="1">
      <alignment vertical="center" wrapText="1"/>
    </xf>
    <xf numFmtId="1" fontId="6" fillId="0" borderId="0" xfId="8" applyNumberFormat="1" applyFont="1" applyFill="1" applyBorder="1" applyAlignment="1">
      <alignment horizontal="center" vertical="center" wrapText="1"/>
    </xf>
    <xf numFmtId="0" fontId="8" fillId="0" borderId="0" xfId="4" applyFont="1" applyBorder="1" applyAlignment="1">
      <alignment horizontal="center"/>
    </xf>
    <xf numFmtId="0" fontId="10" fillId="0" borderId="0" xfId="8" applyNumberFormat="1" applyFont="1" applyFill="1" applyBorder="1" applyAlignment="1">
      <alignment vertical="center" wrapText="1"/>
    </xf>
    <xf numFmtId="49" fontId="10" fillId="0" borderId="0" xfId="8" applyNumberFormat="1" applyFont="1" applyFill="1" applyBorder="1" applyAlignment="1">
      <alignment horizontal="left" vertical="center" wrapText="1"/>
    </xf>
    <xf numFmtId="0" fontId="10" fillId="0" borderId="0" xfId="4" applyFont="1" applyBorder="1" applyAlignment="1">
      <alignment horizontal="center" vertical="center" wrapText="1"/>
    </xf>
    <xf numFmtId="49" fontId="9" fillId="0" borderId="0" xfId="8" applyNumberFormat="1" applyFont="1" applyFill="1" applyBorder="1" applyAlignment="1">
      <alignment horizontal="left" vertical="center" wrapText="1"/>
    </xf>
    <xf numFmtId="49" fontId="9" fillId="0" borderId="0" xfId="8" applyNumberFormat="1" applyFont="1" applyFill="1" applyBorder="1" applyAlignment="1">
      <alignment horizontal="center" vertical="center" wrapText="1"/>
    </xf>
    <xf numFmtId="164" fontId="8" fillId="0" borderId="0" xfId="8" applyNumberFormat="1" applyFont="1" applyFill="1" applyBorder="1" applyAlignment="1">
      <alignment horizontal="center" vertical="center" wrapText="1"/>
    </xf>
    <xf numFmtId="49" fontId="13" fillId="0" borderId="0" xfId="8" applyNumberFormat="1" applyFont="1" applyFill="1" applyBorder="1" applyAlignment="1">
      <alignment vertical="center" wrapText="1"/>
    </xf>
    <xf numFmtId="1" fontId="14" fillId="0" borderId="0" xfId="3" applyNumberFormat="1" applyFont="1" applyFill="1" applyBorder="1" applyAlignment="1">
      <alignment horizontal="right" vertical="center" wrapText="1"/>
    </xf>
    <xf numFmtId="1" fontId="12" fillId="0" borderId="0" xfId="8" applyNumberFormat="1" applyFont="1" applyFill="1" applyBorder="1" applyAlignment="1">
      <alignment horizontal="center" vertical="center" textRotation="90" wrapText="1"/>
    </xf>
    <xf numFmtId="0" fontId="12" fillId="0" borderId="0" xfId="8" applyNumberFormat="1" applyFont="1" applyFill="1" applyBorder="1" applyAlignment="1">
      <alignment horizontal="center" vertical="center" wrapText="1"/>
    </xf>
    <xf numFmtId="49" fontId="10" fillId="0" borderId="1" xfId="8" quotePrefix="1" applyNumberFormat="1" applyFont="1" applyFill="1" applyBorder="1" applyAlignment="1">
      <alignment horizontal="center" vertical="center" wrapText="1"/>
    </xf>
    <xf numFmtId="49" fontId="10" fillId="0" borderId="1" xfId="8" quotePrefix="1" applyNumberFormat="1" applyFont="1" applyFill="1" applyBorder="1" applyAlignment="1">
      <alignment horizontal="left" vertical="center" wrapText="1"/>
    </xf>
    <xf numFmtId="49" fontId="8" fillId="0" borderId="1" xfId="8" quotePrefix="1" applyNumberFormat="1" applyFont="1" applyFill="1" applyBorder="1" applyAlignment="1">
      <alignment horizontal="center" vertical="center" wrapText="1"/>
    </xf>
    <xf numFmtId="0" fontId="11" fillId="0" borderId="0" xfId="4"/>
    <xf numFmtId="0" fontId="8" fillId="14" borderId="1" xfId="4" applyFont="1" applyFill="1" applyBorder="1" applyAlignment="1">
      <alignment horizontal="center" vertical="center" wrapText="1"/>
    </xf>
    <xf numFmtId="0" fontId="8" fillId="14" borderId="1" xfId="4" applyFont="1" applyFill="1" applyBorder="1" applyAlignment="1">
      <alignment horizontal="left" vertical="center" wrapText="1"/>
    </xf>
    <xf numFmtId="0" fontId="18" fillId="0" borderId="0" xfId="4" applyFont="1"/>
    <xf numFmtId="0" fontId="15" fillId="0" borderId="1" xfId="4" applyFont="1" applyBorder="1" applyAlignment="1">
      <alignment horizontal="center" vertical="center" wrapText="1"/>
    </xf>
    <xf numFmtId="0" fontId="9" fillId="0" borderId="1" xfId="4" applyFont="1" applyBorder="1" applyAlignment="1">
      <alignment horizontal="left" vertical="center" wrapText="1"/>
    </xf>
    <xf numFmtId="0" fontId="8" fillId="0" borderId="1" xfId="4" applyFont="1" applyBorder="1" applyAlignment="1">
      <alignment horizontal="left" vertical="center" wrapText="1"/>
    </xf>
    <xf numFmtId="0" fontId="15" fillId="10" borderId="1" xfId="4" applyFont="1" applyFill="1" applyBorder="1" applyAlignment="1">
      <alignment horizontal="center" vertical="center" wrapText="1"/>
    </xf>
    <xf numFmtId="0" fontId="15" fillId="10" borderId="1" xfId="4" applyFont="1" applyFill="1" applyBorder="1" applyAlignment="1">
      <alignment horizontal="left" vertical="center" wrapText="1"/>
    </xf>
    <xf numFmtId="0" fontId="19" fillId="0" borderId="0" xfId="4" applyFont="1"/>
    <xf numFmtId="0" fontId="16" fillId="3" borderId="1" xfId="4" applyFont="1" applyFill="1" applyBorder="1" applyAlignment="1">
      <alignment horizontal="center" vertical="center" wrapText="1"/>
    </xf>
    <xf numFmtId="0" fontId="15" fillId="0" borderId="1" xfId="4" applyFont="1" applyBorder="1" applyAlignment="1">
      <alignment horizontal="left" vertical="center" wrapText="1"/>
    </xf>
    <xf numFmtId="0" fontId="20" fillId="0" borderId="0" xfId="4" applyFont="1"/>
    <xf numFmtId="0" fontId="8" fillId="11" borderId="1" xfId="4" applyFont="1" applyFill="1" applyBorder="1" applyAlignment="1">
      <alignment horizontal="center" vertical="center" wrapText="1"/>
    </xf>
    <xf numFmtId="0" fontId="8" fillId="12" borderId="1" xfId="4" applyFont="1" applyFill="1" applyBorder="1" applyAlignment="1">
      <alignment horizontal="center" vertical="center" wrapText="1"/>
    </xf>
    <xf numFmtId="0" fontId="16" fillId="13" borderId="1" xfId="4" applyFont="1" applyFill="1" applyBorder="1" applyAlignment="1">
      <alignment horizontal="center" vertical="center" wrapText="1"/>
    </xf>
    <xf numFmtId="0" fontId="16" fillId="9" borderId="1" xfId="4" applyFont="1" applyFill="1" applyBorder="1" applyAlignment="1">
      <alignment horizontal="center" vertical="center" wrapText="1"/>
    </xf>
    <xf numFmtId="20" fontId="14" fillId="0" borderId="0" xfId="4" applyNumberFormat="1" applyFont="1" applyFill="1" applyBorder="1" applyAlignment="1" applyProtection="1">
      <alignment horizontal="left" vertical="center"/>
    </xf>
    <xf numFmtId="49" fontId="10" fillId="0" borderId="0" xfId="8" quotePrefix="1" applyNumberFormat="1" applyFont="1" applyFill="1" applyBorder="1" applyAlignment="1">
      <alignment horizontal="center" vertical="center" wrapText="1"/>
    </xf>
    <xf numFmtId="0" fontId="6" fillId="0" borderId="0" xfId="0" applyFont="1" applyBorder="1" applyAlignment="1">
      <alignment vertical="center" wrapText="1"/>
    </xf>
    <xf numFmtId="0" fontId="0" fillId="0" borderId="0" xfId="0" applyBorder="1"/>
    <xf numFmtId="0" fontId="6" fillId="0" borderId="1" xfId="0" applyFont="1" applyBorder="1" applyAlignment="1">
      <alignment vertical="center" wrapText="1"/>
    </xf>
    <xf numFmtId="0" fontId="9" fillId="0" borderId="1" xfId="4" applyFont="1" applyBorder="1" applyAlignment="1">
      <alignment vertical="center" wrapText="1"/>
    </xf>
    <xf numFmtId="0" fontId="8" fillId="2" borderId="1" xfId="4" quotePrefix="1" applyFont="1" applyFill="1" applyBorder="1" applyAlignment="1">
      <alignment vertical="center" wrapText="1"/>
    </xf>
    <xf numFmtId="0" fontId="8" fillId="4" borderId="1" xfId="4" quotePrefix="1" applyFont="1" applyFill="1" applyBorder="1" applyAlignment="1">
      <alignment vertical="center" wrapText="1"/>
    </xf>
    <xf numFmtId="0" fontId="8" fillId="5" borderId="1" xfId="4" quotePrefix="1" applyFont="1" applyFill="1" applyBorder="1" applyAlignment="1">
      <alignment vertical="center" wrapText="1"/>
    </xf>
    <xf numFmtId="0" fontId="8" fillId="6" borderId="1" xfId="4" quotePrefix="1" applyFont="1" applyFill="1" applyBorder="1" applyAlignment="1">
      <alignment vertical="center" wrapText="1"/>
    </xf>
    <xf numFmtId="164" fontId="8" fillId="0" borderId="0" xfId="4" applyNumberFormat="1" applyFont="1" applyFill="1" applyBorder="1" applyAlignment="1" applyProtection="1">
      <alignment horizontal="left" vertical="center" wrapText="1"/>
    </xf>
    <xf numFmtId="1" fontId="8" fillId="0" borderId="0" xfId="4" quotePrefix="1" applyNumberFormat="1" applyFont="1" applyFill="1" applyBorder="1" applyAlignment="1">
      <alignment horizontal="center" vertical="center" wrapText="1"/>
    </xf>
    <xf numFmtId="1" fontId="8" fillId="0" borderId="0" xfId="4" quotePrefix="1" applyNumberFormat="1" applyFont="1" applyFill="1" applyBorder="1" applyAlignment="1">
      <alignment vertical="center" wrapText="1"/>
    </xf>
    <xf numFmtId="1" fontId="8" fillId="0" borderId="0" xfId="7" applyNumberFormat="1" applyFont="1" applyFill="1" applyBorder="1" applyAlignment="1" applyProtection="1">
      <alignment horizontal="right" vertical="center" wrapText="1"/>
    </xf>
    <xf numFmtId="164" fontId="10" fillId="0" borderId="1" xfId="8" applyNumberFormat="1" applyFont="1" applyFill="1" applyBorder="1" applyAlignment="1">
      <alignment horizontal="center" vertical="center" textRotation="90" wrapText="1"/>
    </xf>
    <xf numFmtId="1" fontId="5" fillId="0" borderId="1" xfId="8" applyNumberFormat="1" applyFont="1" applyFill="1" applyBorder="1" applyAlignment="1">
      <alignment horizontal="center" vertical="center" wrapText="1"/>
    </xf>
    <xf numFmtId="0" fontId="10" fillId="0" borderId="1" xfId="4" applyFont="1" applyBorder="1" applyAlignment="1">
      <alignment horizontal="left" vertical="center" wrapText="1"/>
    </xf>
    <xf numFmtId="0" fontId="10" fillId="0" borderId="1" xfId="4" applyFont="1" applyBorder="1" applyAlignment="1">
      <alignment vertical="center" wrapText="1"/>
    </xf>
    <xf numFmtId="165" fontId="10" fillId="0" borderId="1" xfId="0" applyNumberFormat="1" applyFont="1" applyFill="1" applyBorder="1" applyAlignment="1">
      <alignment vertical="center" wrapText="1"/>
    </xf>
    <xf numFmtId="2" fontId="10" fillId="0" borderId="1" xfId="0" applyNumberFormat="1" applyFont="1" applyFill="1" applyBorder="1" applyAlignment="1">
      <alignment vertical="center" wrapText="1"/>
    </xf>
    <xf numFmtId="49" fontId="10" fillId="0" borderId="1" xfId="8" applyNumberFormat="1" applyFont="1" applyFill="1" applyBorder="1" applyAlignment="1">
      <alignment horizontal="left" vertical="center" wrapText="1"/>
    </xf>
    <xf numFmtId="0" fontId="10" fillId="7" borderId="1" xfId="4" applyFont="1" applyFill="1" applyBorder="1" applyAlignment="1">
      <alignment horizontal="center" vertical="center" wrapText="1"/>
    </xf>
    <xf numFmtId="164" fontId="10" fillId="0" borderId="1" xfId="4" applyNumberFormat="1" applyFont="1" applyBorder="1" applyAlignment="1">
      <alignment horizontal="center" vertical="center" wrapText="1"/>
    </xf>
    <xf numFmtId="164" fontId="10" fillId="0" borderId="1" xfId="4" applyNumberFormat="1" applyFont="1" applyBorder="1" applyAlignment="1">
      <alignment vertical="center" wrapText="1"/>
    </xf>
    <xf numFmtId="1" fontId="5" fillId="8" borderId="1" xfId="8" applyNumberFormat="1" applyFont="1" applyFill="1" applyBorder="1" applyAlignment="1">
      <alignment horizontal="center" vertical="center" textRotation="90" wrapText="1"/>
    </xf>
    <xf numFmtId="49" fontId="10" fillId="0" borderId="0" xfId="8" applyNumberFormat="1" applyFont="1" applyFill="1" applyBorder="1" applyAlignment="1">
      <alignment vertical="center" wrapText="1"/>
    </xf>
    <xf numFmtId="2" fontId="10" fillId="0" borderId="0" xfId="3" applyNumberFormat="1" applyFont="1" applyBorder="1" applyAlignment="1">
      <alignment vertical="center" wrapText="1"/>
    </xf>
    <xf numFmtId="0" fontId="5" fillId="0" borderId="0" xfId="4" applyFont="1" applyBorder="1" applyAlignment="1">
      <alignment horizontal="center"/>
    </xf>
    <xf numFmtId="49" fontId="10" fillId="0" borderId="0" xfId="8" applyNumberFormat="1" applyFont="1" applyFill="1" applyBorder="1" applyAlignment="1">
      <alignment horizontal="center" vertical="center" wrapText="1"/>
    </xf>
    <xf numFmtId="49" fontId="5" fillId="0" borderId="0" xfId="8" applyNumberFormat="1" applyFont="1" applyFill="1" applyBorder="1" applyAlignment="1">
      <alignment horizontal="center" vertical="center" wrapText="1"/>
    </xf>
    <xf numFmtId="164" fontId="5" fillId="0" borderId="0" xfId="8" applyNumberFormat="1" applyFont="1" applyFill="1" applyBorder="1" applyAlignment="1">
      <alignment horizontal="center" vertical="center" wrapText="1"/>
    </xf>
    <xf numFmtId="1" fontId="10" fillId="0" borderId="0" xfId="8" applyNumberFormat="1" applyFont="1" applyFill="1" applyBorder="1" applyAlignment="1">
      <alignment horizontal="center" vertical="center" wrapText="1"/>
    </xf>
    <xf numFmtId="49" fontId="21" fillId="3" borderId="1" xfId="8" quotePrefix="1" applyNumberFormat="1" applyFont="1" applyFill="1" applyBorder="1" applyAlignment="1">
      <alignment horizontal="center" vertical="center" textRotation="90" wrapText="1"/>
    </xf>
    <xf numFmtId="1" fontId="8" fillId="0" borderId="7" xfId="7" applyNumberFormat="1" applyFont="1" applyBorder="1" applyAlignment="1" applyProtection="1">
      <alignment horizontal="right" vertical="center" wrapText="1"/>
    </xf>
    <xf numFmtId="49" fontId="10" fillId="0" borderId="1" xfId="8" applyNumberFormat="1" applyFont="1" applyFill="1" applyBorder="1" applyAlignment="1">
      <alignment vertical="center" wrapText="1"/>
    </xf>
    <xf numFmtId="0" fontId="10" fillId="0" borderId="1" xfId="8" applyNumberFormat="1" applyFont="1" applyFill="1" applyBorder="1" applyAlignment="1">
      <alignment vertical="center" wrapText="1"/>
    </xf>
    <xf numFmtId="0" fontId="9" fillId="0" borderId="1" xfId="3" applyFont="1" applyFill="1" applyBorder="1" applyAlignment="1">
      <alignment vertical="center"/>
    </xf>
    <xf numFmtId="0" fontId="23" fillId="0" borderId="0" xfId="11"/>
    <xf numFmtId="0" fontId="23" fillId="0" borderId="1" xfId="11" applyBorder="1" applyAlignment="1">
      <alignment horizontal="center" vertical="center"/>
    </xf>
    <xf numFmtId="0" fontId="23" fillId="0" borderId="1" xfId="11" applyBorder="1" applyAlignment="1">
      <alignment horizontal="left" vertical="center"/>
    </xf>
    <xf numFmtId="0" fontId="23" fillId="0" borderId="0" xfId="11" applyAlignment="1">
      <alignment horizontal="center" vertical="center"/>
    </xf>
    <xf numFmtId="0" fontId="1" fillId="0" borderId="0" xfId="13" applyAlignment="1">
      <alignment vertical="center"/>
    </xf>
    <xf numFmtId="0" fontId="26" fillId="0" borderId="0" xfId="13" applyFont="1" applyAlignment="1">
      <alignment horizontal="justify" vertical="center"/>
    </xf>
    <xf numFmtId="0" fontId="29" fillId="0" borderId="0" xfId="4" applyFont="1"/>
    <xf numFmtId="0" fontId="8" fillId="0" borderId="9" xfId="4" applyFont="1" applyBorder="1" applyAlignment="1">
      <alignment horizontal="left" vertical="center" wrapText="1"/>
    </xf>
    <xf numFmtId="0" fontId="18" fillId="0" borderId="0" xfId="4" applyFont="1" applyBorder="1"/>
    <xf numFmtId="0" fontId="8" fillId="0" borderId="9" xfId="4" applyFont="1" applyBorder="1" applyAlignment="1">
      <alignment horizontal="left" vertical="center"/>
    </xf>
    <xf numFmtId="0" fontId="18" fillId="0" borderId="0" xfId="4" applyFont="1" applyBorder="1" applyAlignment="1">
      <alignment vertical="center"/>
    </xf>
    <xf numFmtId="0" fontId="19" fillId="0" borderId="0" xfId="4" applyFont="1" applyAlignment="1">
      <alignment vertical="center"/>
    </xf>
    <xf numFmtId="0" fontId="11" fillId="0" borderId="0" xfId="4" applyAlignment="1">
      <alignment vertical="center"/>
    </xf>
    <xf numFmtId="0" fontId="11" fillId="0" borderId="0" xfId="4" applyAlignment="1">
      <alignment horizontal="left"/>
    </xf>
    <xf numFmtId="0" fontId="10" fillId="0" borderId="1" xfId="4" applyFont="1" applyBorder="1" applyAlignment="1">
      <alignment horizontal="center" vertical="center" wrapText="1"/>
    </xf>
    <xf numFmtId="164" fontId="10" fillId="0" borderId="1" xfId="8" applyNumberFormat="1" applyFont="1" applyFill="1" applyBorder="1" applyAlignment="1">
      <alignment horizontal="center" vertical="center" wrapText="1"/>
    </xf>
    <xf numFmtId="0" fontId="10" fillId="0" borderId="1" xfId="4" applyFont="1" applyBorder="1" applyAlignment="1">
      <alignment horizontal="center" vertical="center" textRotation="90" wrapText="1"/>
    </xf>
    <xf numFmtId="1" fontId="8" fillId="6" borderId="1" xfId="4" quotePrefix="1" applyNumberFormat="1" applyFont="1" applyFill="1" applyBorder="1" applyAlignment="1">
      <alignment horizontal="center" vertical="center" wrapText="1"/>
    </xf>
    <xf numFmtId="164" fontId="8" fillId="0" borderId="0" xfId="4" applyNumberFormat="1" applyFont="1" applyFill="1" applyBorder="1" applyAlignment="1" applyProtection="1">
      <alignment horizontal="center" vertical="center" wrapText="1"/>
    </xf>
    <xf numFmtId="0" fontId="8" fillId="0" borderId="0" xfId="4" quotePrefix="1" applyNumberFormat="1" applyFont="1" applyFill="1" applyBorder="1" applyAlignment="1">
      <alignment horizontal="center" vertical="center" wrapText="1"/>
    </xf>
    <xf numFmtId="0" fontId="8" fillId="0" borderId="0" xfId="4" quotePrefix="1" applyFont="1" applyFill="1" applyBorder="1" applyAlignment="1">
      <alignment horizontal="center" vertical="center" wrapText="1"/>
    </xf>
    <xf numFmtId="49" fontId="10" fillId="0" borderId="1" xfId="8" applyNumberFormat="1" applyFont="1" applyFill="1" applyBorder="1" applyAlignment="1">
      <alignment horizontal="right" vertical="center" wrapText="1"/>
    </xf>
    <xf numFmtId="1" fontId="10" fillId="0" borderId="1" xfId="8" applyNumberFormat="1" applyFont="1" applyFill="1" applyBorder="1" applyAlignment="1">
      <alignment horizontal="right" vertical="center" wrapText="1"/>
    </xf>
    <xf numFmtId="1" fontId="8" fillId="5" borderId="1" xfId="4" quotePrefix="1" applyNumberFormat="1" applyFont="1" applyFill="1" applyBorder="1" applyAlignment="1">
      <alignment horizontal="center" vertical="center" wrapText="1"/>
    </xf>
    <xf numFmtId="1" fontId="8" fillId="4" borderId="1" xfId="4" quotePrefix="1" applyNumberFormat="1" applyFont="1" applyFill="1" applyBorder="1" applyAlignment="1">
      <alignment horizontal="center" vertical="center" wrapText="1"/>
    </xf>
    <xf numFmtId="1" fontId="8" fillId="2" borderId="1" xfId="4" quotePrefix="1" applyNumberFormat="1" applyFont="1" applyFill="1" applyBorder="1" applyAlignment="1">
      <alignment horizontal="center" vertical="center" wrapText="1"/>
    </xf>
    <xf numFmtId="1" fontId="8" fillId="0" borderId="7" xfId="4" quotePrefix="1" applyNumberFormat="1" applyFont="1" applyFill="1" applyBorder="1" applyAlignment="1">
      <alignment horizontal="center" vertical="center" wrapText="1"/>
    </xf>
    <xf numFmtId="0" fontId="23" fillId="0" borderId="1" xfId="12" applyFont="1" applyBorder="1" applyAlignment="1">
      <alignment vertical="center"/>
    </xf>
    <xf numFmtId="0" fontId="10" fillId="0" borderId="1" xfId="4" quotePrefix="1" applyFont="1" applyBorder="1" applyAlignment="1">
      <alignment vertical="center" wrapText="1"/>
    </xf>
    <xf numFmtId="0" fontId="9" fillId="0" borderId="4" xfId="4" applyFont="1" applyBorder="1" applyAlignment="1">
      <alignment horizontal="left" vertical="center" wrapText="1"/>
    </xf>
    <xf numFmtId="0" fontId="9" fillId="0" borderId="3" xfId="4" applyFont="1" applyBorder="1" applyAlignment="1">
      <alignment horizontal="left" vertical="center" wrapText="1"/>
    </xf>
    <xf numFmtId="0" fontId="31" fillId="0" borderId="4" xfId="4" applyFont="1" applyFill="1" applyBorder="1" applyAlignment="1">
      <alignment horizontal="center" vertical="center"/>
    </xf>
    <xf numFmtId="0" fontId="31" fillId="0" borderId="14" xfId="4" applyFont="1" applyFill="1" applyBorder="1" applyAlignment="1">
      <alignment horizontal="center" vertical="center"/>
    </xf>
    <xf numFmtId="0" fontId="31" fillId="0" borderId="3" xfId="4" applyFont="1" applyFill="1" applyBorder="1" applyAlignment="1">
      <alignment horizontal="center" vertical="center"/>
    </xf>
    <xf numFmtId="0" fontId="30" fillId="0" borderId="10" xfId="4" applyFont="1" applyFill="1" applyBorder="1" applyAlignment="1">
      <alignment horizontal="left" vertical="center"/>
    </xf>
    <xf numFmtId="0" fontId="30" fillId="0" borderId="0" xfId="4" applyFont="1" applyFill="1" applyBorder="1" applyAlignment="1">
      <alignment horizontal="left" vertical="center"/>
    </xf>
    <xf numFmtId="0" fontId="30" fillId="0" borderId="10" xfId="4" applyFont="1" applyBorder="1" applyAlignment="1">
      <alignment horizontal="left" vertical="center"/>
    </xf>
    <xf numFmtId="0" fontId="30" fillId="0" borderId="0" xfId="4" applyFont="1" applyBorder="1" applyAlignment="1">
      <alignment horizontal="left" vertical="center"/>
    </xf>
    <xf numFmtId="0" fontId="8" fillId="0" borderId="5" xfId="4" applyFont="1" applyBorder="1" applyAlignment="1">
      <alignment horizontal="left" vertical="center"/>
    </xf>
    <xf numFmtId="0" fontId="8" fillId="0" borderId="2" xfId="4" applyFont="1" applyBorder="1" applyAlignment="1">
      <alignment horizontal="left" vertical="center"/>
    </xf>
    <xf numFmtId="0" fontId="31" fillId="0" borderId="4" xfId="4" applyFont="1" applyBorder="1" applyAlignment="1">
      <alignment horizontal="left" vertical="center"/>
    </xf>
    <xf numFmtId="0" fontId="31" fillId="0" borderId="3" xfId="4" applyFont="1" applyBorder="1" applyAlignment="1">
      <alignment horizontal="left" vertical="center"/>
    </xf>
    <xf numFmtId="0" fontId="32" fillId="0" borderId="1" xfId="4" applyFont="1" applyBorder="1" applyAlignment="1">
      <alignment horizontal="center" vertical="center"/>
    </xf>
    <xf numFmtId="0" fontId="31" fillId="0" borderId="1" xfId="4" applyFont="1" applyBorder="1" applyAlignment="1">
      <alignment horizontal="left" vertical="center"/>
    </xf>
    <xf numFmtId="0" fontId="1" fillId="0" borderId="0" xfId="13" applyBorder="1" applyAlignment="1">
      <alignment horizontal="center" vertical="center"/>
    </xf>
    <xf numFmtId="0" fontId="1" fillId="0" borderId="0" xfId="13" applyBorder="1" applyAlignment="1">
      <alignment horizontal="left" vertical="center" wrapText="1"/>
    </xf>
    <xf numFmtId="49" fontId="23" fillId="11" borderId="1" xfId="11" applyNumberFormat="1" applyFill="1" applyBorder="1" applyAlignment="1">
      <alignment horizontal="center" vertical="center"/>
    </xf>
    <xf numFmtId="0" fontId="23" fillId="11" borderId="1" xfId="11" applyFill="1" applyBorder="1" applyAlignment="1">
      <alignment horizontal="left" vertical="center" wrapText="1"/>
    </xf>
    <xf numFmtId="0" fontId="1" fillId="0" borderId="3" xfId="13" applyBorder="1" applyAlignment="1">
      <alignment horizontal="left" vertical="center" wrapText="1"/>
    </xf>
    <xf numFmtId="0" fontId="1" fillId="0" borderId="1" xfId="13" applyBorder="1" applyAlignment="1">
      <alignment horizontal="left" vertical="center" wrapText="1"/>
    </xf>
    <xf numFmtId="49" fontId="23" fillId="3" borderId="1" xfId="11" applyNumberFormat="1" applyFill="1" applyBorder="1" applyAlignment="1">
      <alignment horizontal="center" vertical="center"/>
    </xf>
    <xf numFmtId="0" fontId="23" fillId="3" borderId="1" xfId="11" applyFill="1" applyBorder="1" applyAlignment="1">
      <alignment horizontal="left" vertical="center" wrapText="1"/>
    </xf>
    <xf numFmtId="49" fontId="23" fillId="6" borderId="1" xfId="11" applyNumberFormat="1" applyFill="1" applyBorder="1" applyAlignment="1">
      <alignment horizontal="center" vertical="center"/>
    </xf>
    <xf numFmtId="0" fontId="23" fillId="6" borderId="1" xfId="11" applyFill="1" applyBorder="1" applyAlignment="1">
      <alignment horizontal="left" vertical="center" wrapText="1"/>
    </xf>
    <xf numFmtId="49" fontId="23" fillId="12" borderId="1" xfId="11" applyNumberFormat="1" applyFill="1" applyBorder="1" applyAlignment="1">
      <alignment horizontal="center" vertical="center"/>
    </xf>
    <xf numFmtId="0" fontId="23" fillId="12" borderId="1" xfId="11" applyFill="1" applyBorder="1" applyAlignment="1">
      <alignment horizontal="left" vertical="center" wrapText="1"/>
    </xf>
    <xf numFmtId="0" fontId="17" fillId="14" borderId="1" xfId="4" applyFont="1" applyFill="1" applyBorder="1" applyAlignment="1">
      <alignment horizontal="center" vertical="center" wrapText="1"/>
    </xf>
    <xf numFmtId="0" fontId="17" fillId="14" borderId="1" xfId="4" applyFont="1" applyFill="1" applyBorder="1" applyAlignment="1">
      <alignment horizontal="center" vertical="center"/>
    </xf>
    <xf numFmtId="0" fontId="17" fillId="16" borderId="1" xfId="11" applyFont="1" applyFill="1" applyBorder="1" applyAlignment="1">
      <alignment horizontal="center" vertical="center"/>
    </xf>
    <xf numFmtId="0" fontId="17" fillId="22" borderId="1" xfId="11" applyFont="1" applyFill="1" applyBorder="1" applyAlignment="1">
      <alignment horizontal="center" vertical="center"/>
    </xf>
    <xf numFmtId="0" fontId="1" fillId="0" borderId="6" xfId="13" applyBorder="1" applyAlignment="1">
      <alignment horizontal="center" vertical="center"/>
    </xf>
    <xf numFmtId="0" fontId="1" fillId="0" borderId="8" xfId="13" applyBorder="1" applyAlignment="1">
      <alignment horizontal="center" vertical="center"/>
    </xf>
    <xf numFmtId="0" fontId="24" fillId="9" borderId="1" xfId="11" applyFont="1" applyFill="1" applyBorder="1" applyAlignment="1">
      <alignment horizontal="center" vertical="center"/>
    </xf>
    <xf numFmtId="0" fontId="23" fillId="0" borderId="4" xfId="11" applyBorder="1" applyAlignment="1">
      <alignment horizontal="left" vertical="center" wrapText="1"/>
    </xf>
    <xf numFmtId="0" fontId="23" fillId="0" borderId="3" xfId="11" applyBorder="1" applyAlignment="1">
      <alignment horizontal="left" vertical="center" wrapText="1"/>
    </xf>
    <xf numFmtId="0" fontId="9" fillId="0" borderId="14" xfId="4" applyFont="1" applyBorder="1" applyAlignment="1">
      <alignment horizontal="left" vertical="center" wrapText="1"/>
    </xf>
    <xf numFmtId="0" fontId="15" fillId="10" borderId="4" xfId="4" applyFont="1" applyFill="1" applyBorder="1" applyAlignment="1">
      <alignment horizontal="left" vertical="center" wrapText="1"/>
    </xf>
    <xf numFmtId="0" fontId="15" fillId="10" borderId="3" xfId="4" applyFont="1" applyFill="1" applyBorder="1" applyAlignment="1">
      <alignment horizontal="left" vertical="center" wrapText="1"/>
    </xf>
    <xf numFmtId="0" fontId="33" fillId="0" borderId="1" xfId="4" applyFont="1" applyBorder="1" applyAlignment="1">
      <alignment horizontal="center" vertical="center"/>
    </xf>
    <xf numFmtId="0" fontId="15" fillId="10" borderId="5" xfId="4" applyFont="1" applyFill="1" applyBorder="1" applyAlignment="1">
      <alignment horizontal="center" vertical="center" wrapText="1"/>
    </xf>
    <xf numFmtId="0" fontId="15" fillId="10" borderId="2" xfId="4" applyFont="1" applyFill="1" applyBorder="1" applyAlignment="1">
      <alignment horizontal="center" vertical="center" wrapText="1"/>
    </xf>
    <xf numFmtId="0" fontId="15" fillId="10" borderId="6" xfId="4" applyFont="1" applyFill="1" applyBorder="1" applyAlignment="1">
      <alignment horizontal="center" vertical="center" wrapText="1"/>
    </xf>
    <xf numFmtId="0" fontId="15" fillId="10" borderId="14" xfId="4" applyFont="1" applyFill="1" applyBorder="1" applyAlignment="1">
      <alignment horizontal="left" vertical="center" wrapText="1"/>
    </xf>
    <xf numFmtId="0" fontId="8" fillId="14" borderId="4" xfId="4" applyFont="1" applyFill="1" applyBorder="1" applyAlignment="1">
      <alignment horizontal="center" vertical="center" wrapText="1"/>
    </xf>
    <xf numFmtId="0" fontId="8" fillId="14" borderId="3" xfId="4" applyFont="1" applyFill="1" applyBorder="1" applyAlignment="1">
      <alignment horizontal="center" vertical="center" wrapText="1"/>
    </xf>
    <xf numFmtId="0" fontId="28" fillId="14" borderId="11" xfId="4" applyFont="1" applyFill="1" applyBorder="1" applyAlignment="1">
      <alignment horizontal="center" vertical="center"/>
    </xf>
    <xf numFmtId="0" fontId="28" fillId="14" borderId="12" xfId="4" applyFont="1" applyFill="1" applyBorder="1" applyAlignment="1">
      <alignment horizontal="center" vertical="center"/>
    </xf>
    <xf numFmtId="0" fontId="28" fillId="14" borderId="13" xfId="4" applyFont="1" applyFill="1" applyBorder="1" applyAlignment="1">
      <alignment horizontal="center" vertical="center"/>
    </xf>
    <xf numFmtId="0" fontId="30" fillId="0" borderId="0" xfId="4" applyFont="1" applyFill="1" applyBorder="1" applyAlignment="1">
      <alignment horizontal="left" vertical="center" wrapText="1"/>
    </xf>
    <xf numFmtId="0" fontId="17" fillId="0" borderId="1" xfId="4" applyFont="1" applyFill="1" applyBorder="1" applyAlignment="1">
      <alignment horizontal="center" vertical="center"/>
    </xf>
    <xf numFmtId="0" fontId="15" fillId="0" borderId="1" xfId="4" applyFont="1" applyBorder="1" applyAlignment="1">
      <alignment horizontal="center" vertical="center"/>
    </xf>
    <xf numFmtId="0" fontId="15" fillId="0" borderId="4" xfId="4" applyFont="1" applyBorder="1" applyAlignment="1">
      <alignment horizontal="center" vertical="center"/>
    </xf>
    <xf numFmtId="0" fontId="15" fillId="0" borderId="14" xfId="4" applyFont="1" applyBorder="1" applyAlignment="1">
      <alignment horizontal="center" vertical="center"/>
    </xf>
    <xf numFmtId="0" fontId="15" fillId="0" borderId="3" xfId="4" applyFont="1" applyBorder="1" applyAlignment="1">
      <alignment horizontal="center" vertical="center"/>
    </xf>
    <xf numFmtId="49" fontId="12" fillId="18" borderId="7" xfId="8" quotePrefix="1" applyNumberFormat="1" applyFont="1" applyFill="1" applyBorder="1" applyAlignment="1">
      <alignment horizontal="center" vertical="center" wrapText="1"/>
    </xf>
    <xf numFmtId="49" fontId="12" fillId="18" borderId="8" xfId="8" quotePrefix="1" applyNumberFormat="1" applyFont="1" applyFill="1" applyBorder="1" applyAlignment="1">
      <alignment horizontal="center" vertical="center" wrapText="1"/>
    </xf>
    <xf numFmtId="1" fontId="12" fillId="23" borderId="1" xfId="8" applyNumberFormat="1" applyFont="1" applyFill="1" applyBorder="1" applyAlignment="1">
      <alignment horizontal="center" textRotation="90" wrapText="1"/>
    </xf>
    <xf numFmtId="164" fontId="12" fillId="23" borderId="1" xfId="3" quotePrefix="1" applyNumberFormat="1" applyFont="1" applyFill="1" applyBorder="1" applyAlignment="1">
      <alignment horizontal="center" vertical="center" wrapText="1"/>
    </xf>
    <xf numFmtId="49" fontId="12" fillId="23" borderId="1" xfId="8" quotePrefix="1" applyNumberFormat="1" applyFont="1" applyFill="1" applyBorder="1" applyAlignment="1">
      <alignment horizontal="center" vertical="center" textRotation="90" wrapText="1"/>
    </xf>
    <xf numFmtId="164" fontId="12" fillId="21" borderId="1" xfId="3" applyNumberFormat="1" applyFont="1" applyFill="1" applyBorder="1" applyAlignment="1">
      <alignment horizontal="center" vertical="center" wrapText="1"/>
    </xf>
    <xf numFmtId="0" fontId="7" fillId="20" borderId="7" xfId="0" applyFont="1" applyFill="1" applyBorder="1" applyAlignment="1">
      <alignment horizontal="center" vertical="center" textRotation="90" wrapText="1"/>
    </xf>
    <xf numFmtId="0" fontId="7" fillId="20" borderId="8" xfId="0" applyFont="1" applyFill="1" applyBorder="1" applyAlignment="1">
      <alignment horizontal="center" vertical="center" textRotation="90" wrapText="1"/>
    </xf>
    <xf numFmtId="1" fontId="12" fillId="17" borderId="1" xfId="8" applyNumberFormat="1" applyFont="1" applyFill="1" applyBorder="1" applyAlignment="1">
      <alignment horizontal="center" vertical="center" wrapText="1"/>
    </xf>
    <xf numFmtId="164" fontId="7" fillId="17" borderId="1" xfId="9" applyNumberFormat="1" applyFont="1" applyFill="1" applyBorder="1" applyAlignment="1">
      <alignment horizontal="center" vertical="center" textRotation="90" wrapText="1"/>
    </xf>
    <xf numFmtId="0" fontId="12" fillId="21" borderId="1" xfId="3" applyFont="1" applyFill="1" applyBorder="1" applyAlignment="1">
      <alignment horizontal="center" vertical="center" wrapText="1"/>
    </xf>
    <xf numFmtId="49" fontId="12" fillId="21" borderId="1" xfId="8" quotePrefix="1" applyNumberFormat="1" applyFont="1" applyFill="1" applyBorder="1" applyAlignment="1">
      <alignment horizontal="center" vertical="center" wrapText="1"/>
    </xf>
    <xf numFmtId="9" fontId="22" fillId="3" borderId="1" xfId="7" applyFont="1" applyFill="1" applyBorder="1" applyAlignment="1" applyProtection="1">
      <alignment horizontal="center" vertical="center"/>
    </xf>
    <xf numFmtId="0" fontId="14" fillId="3" borderId="1" xfId="3" quotePrefix="1" applyFont="1" applyFill="1" applyBorder="1" applyAlignment="1">
      <alignment horizontal="center" vertical="center" wrapText="1"/>
    </xf>
    <xf numFmtId="0" fontId="12" fillId="18" borderId="7" xfId="8" quotePrefix="1" applyNumberFormat="1" applyFont="1" applyFill="1" applyBorder="1" applyAlignment="1">
      <alignment horizontal="center" vertical="center" wrapText="1"/>
    </xf>
    <xf numFmtId="0" fontId="12" fillId="18" borderId="8" xfId="8" quotePrefix="1" applyNumberFormat="1" applyFont="1" applyFill="1" applyBorder="1" applyAlignment="1">
      <alignment horizontal="center" vertical="center" wrapText="1"/>
    </xf>
    <xf numFmtId="0" fontId="7" fillId="18" borderId="7" xfId="10" quotePrefix="1" applyFont="1" applyFill="1" applyBorder="1" applyAlignment="1">
      <alignment horizontal="center" vertical="center" wrapText="1"/>
    </xf>
    <xf numFmtId="0" fontId="7" fillId="18" borderId="8" xfId="10" quotePrefix="1" applyFont="1" applyFill="1" applyBorder="1" applyAlignment="1">
      <alignment horizontal="center" vertical="center" wrapText="1"/>
    </xf>
    <xf numFmtId="0" fontId="7" fillId="18" borderId="7" xfId="10" quotePrefix="1" applyFont="1" applyFill="1" applyBorder="1" applyAlignment="1">
      <alignment horizontal="center" vertical="center" textRotation="90" wrapText="1"/>
    </xf>
    <xf numFmtId="0" fontId="7" fillId="18" borderId="8" xfId="10" quotePrefix="1" applyFont="1" applyFill="1" applyBorder="1" applyAlignment="1">
      <alignment horizontal="center" vertical="center" textRotation="90" wrapText="1"/>
    </xf>
    <xf numFmtId="0" fontId="8" fillId="20" borderId="1" xfId="3" applyFont="1" applyFill="1" applyBorder="1" applyAlignment="1">
      <alignment horizontal="center" vertical="center"/>
    </xf>
    <xf numFmtId="0" fontId="7" fillId="20" borderId="1" xfId="0" applyFont="1" applyFill="1" applyBorder="1" applyAlignment="1">
      <alignment horizontal="center" vertical="center" textRotation="90" wrapText="1"/>
    </xf>
    <xf numFmtId="0" fontId="7" fillId="20" borderId="7" xfId="0" applyFont="1" applyFill="1" applyBorder="1" applyAlignment="1">
      <alignment horizontal="center" vertical="center" wrapText="1"/>
    </xf>
    <xf numFmtId="0" fontId="7" fillId="20" borderId="8" xfId="0" applyFont="1" applyFill="1" applyBorder="1" applyAlignment="1">
      <alignment horizontal="center" vertical="center" wrapText="1"/>
    </xf>
    <xf numFmtId="2" fontId="22" fillId="15" borderId="4" xfId="3" applyNumberFormat="1" applyFont="1" applyFill="1" applyBorder="1" applyAlignment="1">
      <alignment horizontal="center" vertical="center" wrapText="1"/>
    </xf>
    <xf numFmtId="2" fontId="22" fillId="15" borderId="14" xfId="3" applyNumberFormat="1" applyFont="1" applyFill="1" applyBorder="1" applyAlignment="1">
      <alignment horizontal="center" vertical="center" wrapText="1"/>
    </xf>
    <xf numFmtId="9" fontId="8" fillId="0" borderId="7" xfId="7" applyFont="1" applyBorder="1" applyAlignment="1" applyProtection="1">
      <alignment horizontal="center" vertical="center" wrapText="1"/>
    </xf>
    <xf numFmtId="0" fontId="8" fillId="0" borderId="1" xfId="3" applyFont="1" applyFill="1" applyBorder="1" applyAlignment="1">
      <alignment horizontal="center" vertical="center" wrapText="1"/>
    </xf>
    <xf numFmtId="0" fontId="8" fillId="2" borderId="1" xfId="4" quotePrefix="1" applyFont="1" applyFill="1" applyBorder="1" applyAlignment="1">
      <alignment horizontal="center" vertical="center" wrapText="1"/>
    </xf>
    <xf numFmtId="0" fontId="8" fillId="4" borderId="1" xfId="4" quotePrefix="1" applyFont="1" applyFill="1" applyBorder="1" applyAlignment="1">
      <alignment horizontal="center" vertical="center" wrapText="1"/>
    </xf>
    <xf numFmtId="0" fontId="8" fillId="5" borderId="1" xfId="4" quotePrefix="1" applyFont="1" applyFill="1" applyBorder="1" applyAlignment="1">
      <alignment horizontal="center" vertical="center" wrapText="1"/>
    </xf>
    <xf numFmtId="0" fontId="8" fillId="6" borderId="1" xfId="4" quotePrefix="1" applyFont="1" applyFill="1" applyBorder="1" applyAlignment="1">
      <alignment horizontal="center" vertical="center" wrapText="1"/>
    </xf>
    <xf numFmtId="1" fontId="22" fillId="6" borderId="1" xfId="7" applyNumberFormat="1" applyFont="1" applyFill="1" applyBorder="1" applyAlignment="1" applyProtection="1">
      <alignment horizontal="center" vertical="center" wrapText="1"/>
    </xf>
    <xf numFmtId="0" fontId="22" fillId="19" borderId="1" xfId="3" applyFont="1" applyFill="1" applyBorder="1" applyAlignment="1">
      <alignment horizontal="center" vertical="center"/>
    </xf>
  </cellXfs>
  <cellStyles count="14">
    <cellStyle name="Normal" xfId="0" builtinId="0"/>
    <cellStyle name="Normal 2" xfId="1"/>
    <cellStyle name="Normal 2 2" xfId="2"/>
    <cellStyle name="Normal 2 3" xfId="11"/>
    <cellStyle name="Normal 3" xfId="9"/>
    <cellStyle name="Normal 3 2" xfId="12"/>
    <cellStyle name="Normal 4" xfId="10"/>
    <cellStyle name="Normal 4 2" xfId="13"/>
    <cellStyle name="Normal 5" xfId="4"/>
    <cellStyle name="Normal_31.10.07" xfId="5"/>
    <cellStyle name="Normal_RD_ARGE" xfId="6"/>
    <cellStyle name="Normal_RD_Çay Ocağı" xfId="8"/>
    <cellStyle name="Normal_RD_Su Dairesi_2_2007" xfId="3"/>
    <cellStyle name="Yüzde 3" xfId="7"/>
  </cellStyles>
  <dxfs count="26">
    <dxf>
      <font>
        <color rgb="FF9C0006"/>
      </font>
      <fill>
        <patternFill>
          <bgColor rgb="FFFFC7CE"/>
        </patternFill>
      </fill>
    </dxf>
    <dxf>
      <font>
        <color theme="7" tint="0.39994506668294322"/>
      </font>
      <fill>
        <patternFill>
          <bgColor rgb="FFFF0000"/>
        </patternFill>
      </fill>
    </dxf>
    <dxf>
      <font>
        <color theme="1"/>
      </font>
      <fill>
        <patternFill>
          <bgColor rgb="FFFFC000"/>
        </patternFill>
      </fill>
    </dxf>
    <dxf>
      <font>
        <color theme="7"/>
      </font>
      <fill>
        <patternFill>
          <bgColor rgb="FFFFFF00"/>
        </patternFill>
      </fill>
    </dxf>
    <dxf>
      <font>
        <color theme="1"/>
      </font>
      <fill>
        <patternFill>
          <bgColor theme="5"/>
        </patternFill>
      </fill>
    </dxf>
    <dxf>
      <font>
        <color rgb="FF9C6500"/>
      </font>
      <fill>
        <patternFill>
          <bgColor rgb="FFFFEB9C"/>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ill>
        <patternFill>
          <bgColor rgb="FF00B0F0"/>
        </patternFill>
      </fill>
    </dxf>
    <dxf>
      <fill>
        <patternFill>
          <bgColor rgb="FFFF0000"/>
        </patternFill>
      </fill>
    </dxf>
    <dxf>
      <fill>
        <patternFill>
          <bgColor rgb="FFFF9900"/>
        </patternFill>
      </fill>
    </dxf>
    <dxf>
      <fill>
        <patternFill>
          <bgColor rgb="FF92D050"/>
        </patternFill>
      </fill>
    </dxf>
    <dxf>
      <fill>
        <patternFill patternType="none">
          <bgColor auto="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F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F0"/>
        </patternFill>
      </fill>
    </dxf>
    <dxf>
      <fill>
        <patternFill patternType="solid">
          <fgColor rgb="FFFF0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tr-TR"/>
              <a:t>AKSİYONLARIN DURUMU</a:t>
            </a:r>
          </a:p>
        </c:rich>
      </c:tx>
      <c:layout/>
      <c:overlay val="0"/>
      <c:spPr>
        <a:noFill/>
        <a:ln>
          <a:noFill/>
        </a:ln>
        <a:effectLst/>
      </c:spPr>
    </c:title>
    <c:autoTitleDeleted val="0"/>
    <c:view3D>
      <c:rotX val="50"/>
      <c:rotY val="0"/>
      <c:depthPercent val="100"/>
      <c:rAngAx val="0"/>
      <c:perspective val="3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FF0000"/>
              </a:solidFill>
              <a:ln>
                <a:noFill/>
              </a:ln>
              <a:effectLst>
                <a:outerShdw blurRad="254000" sx="102000" sy="102000" algn="ctr" rotWithShape="0">
                  <a:prstClr val="black">
                    <a:alpha val="20000"/>
                  </a:prstClr>
                </a:outerShdw>
              </a:effectLst>
              <a:sp3d/>
            </c:spPr>
            <c:extLst xmlns:c16r2="http://schemas.microsoft.com/office/drawing/2015/06/chart">
              <c:ext xmlns:c16="http://schemas.microsoft.com/office/drawing/2014/chart" uri="{C3380CC4-5D6E-409C-BE32-E72D297353CC}">
                <c16:uniqueId val="{00000001-A71C-4B58-8F6E-2BAD5BD2E349}"/>
              </c:ext>
            </c:extLst>
          </c:dPt>
          <c:dPt>
            <c:idx val="1"/>
            <c:bubble3D val="0"/>
            <c:spPr>
              <a:solidFill>
                <a:srgbClr val="00B0F0"/>
              </a:solidFill>
              <a:ln>
                <a:noFill/>
              </a:ln>
              <a:effectLst>
                <a:outerShdw blurRad="254000" sx="102000" sy="102000" algn="ctr" rotWithShape="0">
                  <a:prstClr val="black">
                    <a:alpha val="20000"/>
                  </a:prstClr>
                </a:outerShdw>
              </a:effectLst>
              <a:sp3d/>
            </c:spPr>
            <c:extLst xmlns:c16r2="http://schemas.microsoft.com/office/drawing/2015/06/chart">
              <c:ext xmlns:c16="http://schemas.microsoft.com/office/drawing/2014/chart" uri="{C3380CC4-5D6E-409C-BE32-E72D297353CC}">
                <c16:uniqueId val="{00000003-A71C-4B58-8F6E-2BAD5BD2E349}"/>
              </c:ext>
            </c:extLst>
          </c:dPt>
          <c:dPt>
            <c:idx val="2"/>
            <c:bubble3D val="0"/>
            <c:spPr>
              <a:solidFill>
                <a:schemeClr val="accent2"/>
              </a:solidFill>
              <a:ln>
                <a:noFill/>
              </a:ln>
              <a:effectLst>
                <a:outerShdw blurRad="254000" sx="102000" sy="102000" algn="ctr" rotWithShape="0">
                  <a:prstClr val="black">
                    <a:alpha val="20000"/>
                  </a:prstClr>
                </a:outerShdw>
              </a:effectLst>
              <a:sp3d/>
            </c:spPr>
            <c:extLst xmlns:c16r2="http://schemas.microsoft.com/office/drawing/2015/06/chart">
              <c:ext xmlns:c16="http://schemas.microsoft.com/office/drawing/2014/chart" uri="{C3380CC4-5D6E-409C-BE32-E72D297353CC}">
                <c16:uniqueId val="{00000005-A71C-4B58-8F6E-2BAD5BD2E349}"/>
              </c:ext>
            </c:extLst>
          </c:dPt>
          <c:dPt>
            <c:idx val="3"/>
            <c:bubble3D val="0"/>
            <c:spPr>
              <a:solidFill>
                <a:srgbClr val="92D050"/>
              </a:solidFill>
              <a:ln>
                <a:noFill/>
              </a:ln>
              <a:effectLst>
                <a:outerShdw blurRad="254000" sx="102000" sy="102000" algn="ctr" rotWithShape="0">
                  <a:prstClr val="black">
                    <a:alpha val="20000"/>
                  </a:prstClr>
                </a:outerShdw>
              </a:effectLst>
              <a:sp3d/>
            </c:spPr>
            <c:extLst xmlns:c16r2="http://schemas.microsoft.com/office/drawing/2015/06/chart">
              <c:ext xmlns:c16="http://schemas.microsoft.com/office/drawing/2014/chart" uri="{C3380CC4-5D6E-409C-BE32-E72D297353CC}">
                <c16:uniqueId val="{00000007-A71C-4B58-8F6E-2BAD5BD2E349}"/>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tr-T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6r2="http://schemas.microsoft.com/office/drawing/2015/06/chart">
              <c:ext xmlns:c15="http://schemas.microsoft.com/office/drawing/2012/chart" uri="{CE6537A1-D6FC-4f65-9D91-7224C49458BB}"/>
            </c:extLst>
          </c:dLbls>
          <c:cat>
            <c:strRef>
              <c:f>'İSG Risk ve Fırsat Değ.'!$Q$2:$Q$5</c:f>
              <c:strCache>
                <c:ptCount val="4"/>
                <c:pt idx="0">
                  <c:v>Hedef Tarihi Geçen</c:v>
                </c:pt>
                <c:pt idx="1">
                  <c:v>Zaman Var</c:v>
                </c:pt>
                <c:pt idx="2">
                  <c:v>Görüşülecek - Hedef tarih yok</c:v>
                </c:pt>
                <c:pt idx="3">
                  <c:v>Tamamlanan</c:v>
                </c:pt>
              </c:strCache>
            </c:strRef>
          </c:cat>
          <c:val>
            <c:numRef>
              <c:f>'Risk ve Fırsat Değerlendirme'!#REF!</c:f>
              <c:numCache>
                <c:formatCode>General</c:formatCode>
                <c:ptCount val="1"/>
                <c:pt idx="0">
                  <c:v>1</c:v>
                </c:pt>
              </c:numCache>
            </c:numRef>
          </c:val>
          <c:extLst xmlns:c16r2="http://schemas.microsoft.com/office/drawing/2015/06/chart">
            <c:ext xmlns:c16="http://schemas.microsoft.com/office/drawing/2014/chart" uri="{C3380CC4-5D6E-409C-BE32-E72D297353CC}">
              <c16:uniqueId val="{00000008-A71C-4B58-8F6E-2BAD5BD2E349}"/>
            </c:ext>
          </c:extLst>
        </c:ser>
        <c:ser>
          <c:idx val="1"/>
          <c:order val="1"/>
          <c:dLbls>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dLbls>
          <c:cat>
            <c:strRef>
              <c:f>'İSG Risk ve Fırsat Değ.'!$Q$2:$Q$5</c:f>
              <c:strCache>
                <c:ptCount val="4"/>
                <c:pt idx="0">
                  <c:v>Hedef Tarihi Geçen</c:v>
                </c:pt>
                <c:pt idx="1">
                  <c:v>Zaman Var</c:v>
                </c:pt>
                <c:pt idx="2">
                  <c:v>Görüşülecek - Hedef tarih yok</c:v>
                </c:pt>
                <c:pt idx="3">
                  <c:v>Tamamlanan</c:v>
                </c:pt>
              </c:strCache>
            </c:strRef>
          </c:cat>
          <c:val>
            <c:numRef>
              <c:f>'İSG Risk ve Fırsat Değ.'!$S$2:$S$5</c:f>
              <c:numCache>
                <c:formatCode>General</c:formatCode>
                <c:ptCount val="4"/>
              </c:numCache>
            </c:numRef>
          </c:val>
        </c:ser>
        <c:ser>
          <c:idx val="2"/>
          <c:order val="2"/>
          <c:dLbls>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dLbls>
          <c:cat>
            <c:strRef>
              <c:f>'İSG Risk ve Fırsat Değ.'!$Q$2:$Q$5</c:f>
              <c:strCache>
                <c:ptCount val="4"/>
                <c:pt idx="0">
                  <c:v>Hedef Tarihi Geçen</c:v>
                </c:pt>
                <c:pt idx="1">
                  <c:v>Zaman Var</c:v>
                </c:pt>
                <c:pt idx="2">
                  <c:v>Görüşülecek - Hedef tarih yok</c:v>
                </c:pt>
                <c:pt idx="3">
                  <c:v>Tamamlanan</c:v>
                </c:pt>
              </c:strCache>
            </c:strRef>
          </c:cat>
          <c:val>
            <c:numRef>
              <c:f>'Risk ve Fırsat Değerlendirme'!#REF!</c:f>
              <c:numCache>
                <c:formatCode>General</c:formatCode>
                <c:ptCount val="1"/>
                <c:pt idx="0">
                  <c:v>1</c:v>
                </c:pt>
              </c:numCache>
            </c:numRef>
          </c:val>
        </c:ser>
        <c:dLbls>
          <c:dLblPos val="ctr"/>
          <c:showLegendKey val="0"/>
          <c:showVal val="0"/>
          <c:showCatName val="0"/>
          <c:showSerName val="0"/>
          <c:showPercent val="1"/>
          <c:showBubbleSize val="0"/>
          <c:showLeaderLines val="1"/>
        </c:dLbls>
      </c:pie3DChart>
    </c:plotArea>
    <c:legend>
      <c:legendPos val="r"/>
      <c:layout>
        <c:manualLayout>
          <c:xMode val="edge"/>
          <c:yMode val="edge"/>
          <c:x val="0.63953179883457556"/>
          <c:y val="0.46747688756328065"/>
          <c:w val="0.33394998879160392"/>
          <c:h val="0.35376204577642639"/>
        </c:manualLayout>
      </c:layout>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tr-T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tr-T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9</xdr:col>
      <xdr:colOff>76200</xdr:colOff>
      <xdr:row>4</xdr:row>
      <xdr:rowOff>57830</xdr:rowOff>
    </xdr:to>
    <xdr:sp macro="" textlink="">
      <xdr:nvSpPr>
        <xdr:cNvPr id="2" name="Text Box 2">
          <a:extLst>
            <a:ext uri="{FF2B5EF4-FFF2-40B4-BE49-F238E27FC236}">
              <a16:creationId xmlns="" xmlns:a16="http://schemas.microsoft.com/office/drawing/2014/main" id="{19DF67B2-3EE3-4359-81B7-3AC423152FD2}"/>
            </a:ext>
          </a:extLst>
        </xdr:cNvPr>
        <xdr:cNvSpPr txBox="1">
          <a:spLocks noChangeArrowheads="1"/>
        </xdr:cNvSpPr>
      </xdr:nvSpPr>
      <xdr:spPr bwMode="auto">
        <a:xfrm>
          <a:off x="2581275" y="0"/>
          <a:ext cx="76200" cy="17818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104775</xdr:colOff>
      <xdr:row>0</xdr:row>
      <xdr:rowOff>98271</xdr:rowOff>
    </xdr:from>
    <xdr:to>
      <xdr:col>9</xdr:col>
      <xdr:colOff>2257425</xdr:colOff>
      <xdr:row>5</xdr:row>
      <xdr:rowOff>304800</xdr:rowOff>
    </xdr:to>
    <xdr:graphicFrame macro="">
      <xdr:nvGraphicFramePr>
        <xdr:cNvPr id="3" name="Grafik 2">
          <a:extLst>
            <a:ext uri="{FF2B5EF4-FFF2-40B4-BE49-F238E27FC236}">
              <a16:creationId xmlns="" xmlns:a16="http://schemas.microsoft.com/office/drawing/2014/main" id="{AB8E05DC-72A3-4668-A3F3-1E6F267F2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1436158</xdr:colOff>
      <xdr:row>0</xdr:row>
      <xdr:rowOff>149223</xdr:rowOff>
    </xdr:from>
    <xdr:to>
      <xdr:col>34</xdr:col>
      <xdr:colOff>323850</xdr:colOff>
      <xdr:row>2</xdr:row>
      <xdr:rowOff>400050</xdr:rowOff>
    </xdr:to>
    <xdr:sp macro="" textlink="">
      <xdr:nvSpPr>
        <xdr:cNvPr id="4" name="Metin kutusu 3">
          <a:extLst>
            <a:ext uri="{FF2B5EF4-FFF2-40B4-BE49-F238E27FC236}">
              <a16:creationId xmlns="" xmlns:a16="http://schemas.microsoft.com/office/drawing/2014/main" id="{00000000-0008-0000-0100-000006000000}"/>
            </a:ext>
          </a:extLst>
        </xdr:cNvPr>
        <xdr:cNvSpPr txBox="1"/>
      </xdr:nvSpPr>
      <xdr:spPr>
        <a:xfrm>
          <a:off x="19457458" y="149223"/>
          <a:ext cx="3116792" cy="965202"/>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100" b="1"/>
            <a:t>Revizyon Nedenleri  Kısaltmaları: </a:t>
          </a:r>
        </a:p>
        <a:p>
          <a:r>
            <a:rPr lang="tr-TR" sz="1100"/>
            <a:t>İ:</a:t>
          </a:r>
          <a:r>
            <a:rPr lang="tr-TR" sz="1100" baseline="0"/>
            <a:t> İş kazası sonrası güncelleme</a:t>
          </a:r>
        </a:p>
        <a:p>
          <a:r>
            <a:rPr lang="tr-TR" sz="1100" baseline="0"/>
            <a:t>A: Acil durum sonrası güncelleme</a:t>
          </a:r>
        </a:p>
        <a:p>
          <a:r>
            <a:rPr lang="tr-TR" sz="1100" baseline="0"/>
            <a:t>R: Atlatılan ramak kala olay sonrası güncelleme</a:t>
          </a:r>
        </a:p>
        <a:p>
          <a:r>
            <a:rPr lang="tr-TR" sz="1100" baseline="0"/>
            <a:t>M: Meslek hastalığı</a:t>
          </a:r>
        </a:p>
      </xdr:txBody>
    </xdr:sp>
    <xdr:clientData/>
  </xdr:twoCellAnchor>
  <xdr:twoCellAnchor>
    <xdr:from>
      <xdr:col>21</xdr:col>
      <xdr:colOff>133350</xdr:colOff>
      <xdr:row>0</xdr:row>
      <xdr:rowOff>148167</xdr:rowOff>
    </xdr:from>
    <xdr:to>
      <xdr:col>29</xdr:col>
      <xdr:colOff>1257300</xdr:colOff>
      <xdr:row>5</xdr:row>
      <xdr:rowOff>349250</xdr:rowOff>
    </xdr:to>
    <xdr:sp macro="" textlink="">
      <xdr:nvSpPr>
        <xdr:cNvPr id="5" name="Metin kutusu 4">
          <a:extLst>
            <a:ext uri="{FF2B5EF4-FFF2-40B4-BE49-F238E27FC236}">
              <a16:creationId xmlns="" xmlns:a16="http://schemas.microsoft.com/office/drawing/2014/main" id="{00000000-0008-0000-0100-000005000000}"/>
            </a:ext>
          </a:extLst>
        </xdr:cNvPr>
        <xdr:cNvSpPr txBox="1"/>
      </xdr:nvSpPr>
      <xdr:spPr>
        <a:xfrm>
          <a:off x="14620875" y="148167"/>
          <a:ext cx="4657725" cy="2429933"/>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100" b="1"/>
            <a:t>Risk Kolonu Kısaltmaları:</a:t>
          </a:r>
        </a:p>
        <a:p>
          <a:r>
            <a:rPr lang="tr-TR" sz="1100"/>
            <a:t>A: Acil Durum </a:t>
          </a:r>
        </a:p>
        <a:p>
          <a:pPr marL="0" marR="0" lvl="0" indent="0" defTabSz="914400" eaLnBrk="1" fontAlgn="auto" latinLnBrk="0" hangingPunct="1">
            <a:lnSpc>
              <a:spcPct val="100000"/>
            </a:lnSpc>
            <a:spcBef>
              <a:spcPts val="0"/>
            </a:spcBef>
            <a:spcAft>
              <a:spcPts val="0"/>
            </a:spcAft>
            <a:buClrTx/>
            <a:buSzTx/>
            <a:buFontTx/>
            <a:buNone/>
            <a:tabLst/>
            <a:defRPr/>
          </a:pPr>
          <a:r>
            <a:rPr lang="tr-TR" sz="1100">
              <a:solidFill>
                <a:schemeClr val="dk1"/>
              </a:solidFill>
              <a:effectLst/>
              <a:latin typeface="+mn-lt"/>
              <a:ea typeface="+mn-ea"/>
              <a:cs typeface="+mn-cs"/>
            </a:rPr>
            <a:t>İ: İş Kazası</a:t>
          </a:r>
          <a:endParaRPr lang="tr-TR">
            <a:effectLst/>
          </a:endParaRPr>
        </a:p>
        <a:p>
          <a:r>
            <a:rPr lang="tr-TR" sz="1100"/>
            <a:t>M: Meslek Hastalığı</a:t>
          </a:r>
        </a:p>
        <a:p>
          <a:r>
            <a:rPr lang="tr-TR" sz="1100" baseline="0">
              <a:solidFill>
                <a:schemeClr val="dk1"/>
              </a:solidFill>
              <a:effectLst/>
              <a:latin typeface="+mn-lt"/>
              <a:ea typeface="+mn-ea"/>
              <a:cs typeface="+mn-cs"/>
            </a:rPr>
            <a:t>S: Sağlığın Bozulması</a:t>
          </a:r>
          <a:r>
            <a:rPr lang="tr-TR" sz="1100"/>
            <a:t> </a:t>
          </a:r>
        </a:p>
        <a:p>
          <a:r>
            <a:rPr lang="tr-TR" sz="1100"/>
            <a:t>Ö</a:t>
          </a:r>
          <a:r>
            <a:rPr lang="tr-TR" sz="1100" baseline="0"/>
            <a:t> : Ölüm</a:t>
          </a:r>
          <a:endParaRPr lang="tr-TR" sz="1100"/>
        </a:p>
        <a:p>
          <a:r>
            <a:rPr lang="tr-TR" sz="1100"/>
            <a:t>YMA : Yasal Mevzuata Aykırılık</a:t>
          </a:r>
        </a:p>
        <a:p>
          <a:r>
            <a:rPr lang="tr-TR" sz="1100"/>
            <a:t>İPC : İdari</a:t>
          </a:r>
          <a:r>
            <a:rPr lang="tr-TR" sz="1100" baseline="0"/>
            <a:t> Para Cezası</a:t>
          </a:r>
          <a:endParaRPr lang="tr-TR" sz="1100"/>
        </a:p>
        <a:p>
          <a:r>
            <a:rPr lang="tr-TR" sz="1100"/>
            <a:t>YSA : Yönetim</a:t>
          </a:r>
          <a:r>
            <a:rPr lang="tr-TR" sz="1100" baseline="0"/>
            <a:t> Sistemine (</a:t>
          </a:r>
          <a:r>
            <a:rPr lang="tr-TR" sz="1100">
              <a:solidFill>
                <a:schemeClr val="dk1"/>
              </a:solidFill>
              <a:effectLst/>
              <a:latin typeface="+mn-lt"/>
              <a:ea typeface="+mn-ea"/>
              <a:cs typeface="+mn-cs"/>
            </a:rPr>
            <a:t>45001)</a:t>
          </a:r>
          <a:r>
            <a:rPr lang="tr-TR" sz="1100" baseline="0"/>
            <a:t> Aykırılık</a:t>
          </a:r>
        </a:p>
        <a:p>
          <a:r>
            <a:rPr lang="tr-TR" sz="1100" baseline="0"/>
            <a:t>KİZ : Kurum imajının zedelenmesi, aidiyet duygusunun ve güvenirliğin azalması</a:t>
          </a:r>
        </a:p>
        <a:p>
          <a:r>
            <a:rPr lang="tr-TR" sz="1100" baseline="0"/>
            <a:t>İS : İş Sürekliliğinin Sağlanamaması</a:t>
          </a:r>
          <a:endParaRPr lang="tr-TR" sz="1100"/>
        </a:p>
      </xdr:txBody>
    </xdr:sp>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54"/>
  <sheetViews>
    <sheetView zoomScale="80" zoomScaleNormal="80" workbookViewId="0">
      <selection activeCell="F81" sqref="F81"/>
    </sheetView>
  </sheetViews>
  <sheetFormatPr defaultRowHeight="12.75"/>
  <cols>
    <col min="1" max="1" width="17.28515625" style="53" customWidth="1"/>
    <col min="2" max="2" width="46.5703125" style="120" customWidth="1"/>
    <col min="3" max="3" width="14.5703125" style="53" customWidth="1"/>
    <col min="4" max="4" width="14" style="120" customWidth="1"/>
    <col min="5" max="5" width="17" style="120" customWidth="1"/>
    <col min="6" max="6" width="18.85546875" style="53" customWidth="1"/>
    <col min="7" max="7" width="44.140625" style="120" customWidth="1"/>
    <col min="8" max="14" width="0" style="53" hidden="1" customWidth="1"/>
    <col min="15" max="16384" width="9.140625" style="53"/>
  </cols>
  <sheetData>
    <row r="1" spans="1:7" s="113" customFormat="1" ht="39.950000000000003" customHeight="1">
      <c r="A1" s="182" t="s">
        <v>160</v>
      </c>
      <c r="B1" s="183"/>
      <c r="C1" s="183"/>
      <c r="D1" s="183"/>
      <c r="E1" s="183"/>
      <c r="F1" s="183"/>
      <c r="G1" s="184"/>
    </row>
    <row r="2" spans="1:7" s="115" customFormat="1" ht="29.25" customHeight="1">
      <c r="A2" s="141" t="s">
        <v>161</v>
      </c>
      <c r="B2" s="142"/>
      <c r="C2" s="142"/>
      <c r="D2" s="185" t="s">
        <v>171</v>
      </c>
      <c r="E2" s="185"/>
      <c r="F2" s="185"/>
      <c r="G2" s="114" t="s">
        <v>166</v>
      </c>
    </row>
    <row r="3" spans="1:7" s="117" customFormat="1" ht="24.95" customHeight="1">
      <c r="A3" s="143" t="s">
        <v>162</v>
      </c>
      <c r="B3" s="144"/>
      <c r="C3" s="144"/>
      <c r="D3" s="144" t="s">
        <v>164</v>
      </c>
      <c r="E3" s="144"/>
      <c r="F3" s="144"/>
      <c r="G3" s="116" t="s">
        <v>167</v>
      </c>
    </row>
    <row r="4" spans="1:7" s="117" customFormat="1" ht="24.95" customHeight="1">
      <c r="A4" s="145" t="s">
        <v>163</v>
      </c>
      <c r="B4" s="146"/>
      <c r="C4" s="146"/>
      <c r="D4" s="146" t="s">
        <v>165</v>
      </c>
      <c r="E4" s="146"/>
      <c r="F4" s="146"/>
      <c r="G4" s="116" t="s">
        <v>168</v>
      </c>
    </row>
    <row r="5" spans="1:7" ht="35.1" customHeight="1">
      <c r="A5" s="164" t="s">
        <v>170</v>
      </c>
      <c r="B5" s="164"/>
      <c r="C5" s="164"/>
      <c r="D5" s="164"/>
      <c r="E5" s="164"/>
      <c r="F5" s="164"/>
      <c r="G5" s="164"/>
    </row>
    <row r="6" spans="1:7" s="118" customFormat="1" ht="24" customHeight="1">
      <c r="A6" s="186" t="s">
        <v>148</v>
      </c>
      <c r="B6" s="186"/>
      <c r="C6" s="188" t="s">
        <v>149</v>
      </c>
      <c r="D6" s="189"/>
      <c r="E6" s="190"/>
      <c r="F6" s="187" t="s">
        <v>150</v>
      </c>
      <c r="G6" s="187"/>
    </row>
    <row r="7" spans="1:7" s="119" customFormat="1" ht="50.1" customHeight="1">
      <c r="A7" s="150"/>
      <c r="B7" s="150"/>
      <c r="C7" s="138"/>
      <c r="D7" s="139"/>
      <c r="E7" s="140"/>
      <c r="F7" s="149"/>
      <c r="G7" s="149"/>
    </row>
    <row r="8" spans="1:7" s="119" customFormat="1" ht="50.1" customHeight="1">
      <c r="A8" s="150"/>
      <c r="B8" s="147"/>
      <c r="C8" s="138"/>
      <c r="D8" s="139"/>
      <c r="E8" s="140"/>
      <c r="F8" s="149"/>
      <c r="G8" s="149"/>
    </row>
    <row r="9" spans="1:7" s="119" customFormat="1" ht="50.1" customHeight="1">
      <c r="A9" s="147"/>
      <c r="B9" s="148"/>
      <c r="C9" s="138"/>
      <c r="D9" s="139"/>
      <c r="E9" s="140"/>
      <c r="F9" s="149"/>
      <c r="G9" s="149"/>
    </row>
    <row r="10" spans="1:7" s="119" customFormat="1" ht="50.1" customHeight="1">
      <c r="A10" s="147"/>
      <c r="B10" s="148"/>
      <c r="C10" s="138"/>
      <c r="D10" s="139"/>
      <c r="E10" s="140"/>
      <c r="F10" s="149"/>
      <c r="G10" s="149"/>
    </row>
    <row r="11" spans="1:7" s="119" customFormat="1" ht="50.1" customHeight="1">
      <c r="A11" s="150"/>
      <c r="B11" s="150"/>
      <c r="C11" s="138"/>
      <c r="D11" s="139"/>
      <c r="E11" s="140"/>
      <c r="F11" s="149"/>
      <c r="G11" s="149"/>
    </row>
    <row r="12" spans="1:7" s="119" customFormat="1" ht="50.1" customHeight="1">
      <c r="A12" s="150"/>
      <c r="B12" s="150"/>
      <c r="C12" s="138"/>
      <c r="D12" s="139"/>
      <c r="E12" s="140"/>
      <c r="F12" s="175"/>
      <c r="G12" s="175"/>
    </row>
    <row r="13" spans="1:7" s="119" customFormat="1" ht="50.1" customHeight="1">
      <c r="A13" s="150"/>
      <c r="B13" s="150"/>
      <c r="C13" s="138"/>
      <c r="D13" s="139"/>
      <c r="E13" s="140"/>
      <c r="F13" s="149"/>
      <c r="G13" s="149"/>
    </row>
    <row r="14" spans="1:7" ht="54.75" customHeight="1">
      <c r="A14" s="163" t="s">
        <v>151</v>
      </c>
      <c r="B14" s="164"/>
      <c r="C14" s="164"/>
      <c r="D14" s="164"/>
      <c r="E14" s="164"/>
      <c r="F14" s="164"/>
      <c r="G14" s="164"/>
    </row>
    <row r="15" spans="1:7" s="56" customFormat="1" ht="67.5" customHeight="1">
      <c r="A15" s="54" t="s">
        <v>54</v>
      </c>
      <c r="B15" s="55" t="s">
        <v>55</v>
      </c>
      <c r="C15" s="54" t="s">
        <v>56</v>
      </c>
      <c r="D15" s="180" t="s">
        <v>152</v>
      </c>
      <c r="E15" s="181"/>
      <c r="F15" s="54" t="s">
        <v>57</v>
      </c>
      <c r="G15" s="55" t="s">
        <v>58</v>
      </c>
    </row>
    <row r="16" spans="1:7" ht="62.25" customHeight="1">
      <c r="A16" s="57">
        <v>10</v>
      </c>
      <c r="B16" s="58" t="s">
        <v>59</v>
      </c>
      <c r="C16" s="57">
        <v>10</v>
      </c>
      <c r="D16" s="136" t="s">
        <v>60</v>
      </c>
      <c r="E16" s="137"/>
      <c r="F16" s="57">
        <v>100</v>
      </c>
      <c r="G16" s="59" t="s">
        <v>61</v>
      </c>
    </row>
    <row r="17" spans="1:7" ht="62.25" customHeight="1">
      <c r="A17" s="57">
        <v>6</v>
      </c>
      <c r="B17" s="58" t="s">
        <v>62</v>
      </c>
      <c r="C17" s="57">
        <v>6</v>
      </c>
      <c r="D17" s="136" t="s">
        <v>63</v>
      </c>
      <c r="E17" s="137"/>
      <c r="F17" s="57">
        <v>40</v>
      </c>
      <c r="G17" s="59" t="s">
        <v>64</v>
      </c>
    </row>
    <row r="18" spans="1:7" ht="62.25" customHeight="1">
      <c r="A18" s="57">
        <v>3</v>
      </c>
      <c r="B18" s="58" t="s">
        <v>65</v>
      </c>
      <c r="C18" s="57">
        <v>3</v>
      </c>
      <c r="D18" s="136" t="s">
        <v>66</v>
      </c>
      <c r="E18" s="137"/>
      <c r="F18" s="57">
        <v>15</v>
      </c>
      <c r="G18" s="59" t="s">
        <v>67</v>
      </c>
    </row>
    <row r="19" spans="1:7" ht="62.25" customHeight="1">
      <c r="A19" s="57">
        <v>1</v>
      </c>
      <c r="B19" s="58" t="s">
        <v>68</v>
      </c>
      <c r="C19" s="57">
        <v>2</v>
      </c>
      <c r="D19" s="136" t="s">
        <v>69</v>
      </c>
      <c r="E19" s="137"/>
      <c r="F19" s="57">
        <v>7</v>
      </c>
      <c r="G19" s="59" t="s">
        <v>70</v>
      </c>
    </row>
    <row r="20" spans="1:7" ht="62.25" customHeight="1">
      <c r="A20" s="57">
        <v>0.5</v>
      </c>
      <c r="B20" s="59" t="s">
        <v>71</v>
      </c>
      <c r="C20" s="57">
        <v>1</v>
      </c>
      <c r="D20" s="136" t="s">
        <v>72</v>
      </c>
      <c r="E20" s="137"/>
      <c r="F20" s="57">
        <v>3</v>
      </c>
      <c r="G20" s="59" t="s">
        <v>73</v>
      </c>
    </row>
    <row r="21" spans="1:7" ht="62.25" customHeight="1">
      <c r="A21" s="57">
        <v>0.2</v>
      </c>
      <c r="B21" s="59" t="s">
        <v>74</v>
      </c>
      <c r="C21" s="57">
        <v>0.5</v>
      </c>
      <c r="D21" s="136" t="s">
        <v>75</v>
      </c>
      <c r="E21" s="137"/>
      <c r="F21" s="57">
        <v>1</v>
      </c>
      <c r="G21" s="59" t="s">
        <v>76</v>
      </c>
    </row>
    <row r="22" spans="1:7" ht="37.5" customHeight="1">
      <c r="A22" s="176" t="s">
        <v>17</v>
      </c>
      <c r="B22" s="177"/>
      <c r="C22" s="177"/>
      <c r="D22" s="177"/>
      <c r="E22" s="177"/>
      <c r="F22" s="177"/>
      <c r="G22" s="178"/>
    </row>
    <row r="23" spans="1:7" s="62" customFormat="1" ht="34.5" customHeight="1">
      <c r="A23" s="60" t="s">
        <v>18</v>
      </c>
      <c r="B23" s="61" t="s">
        <v>19</v>
      </c>
      <c r="C23" s="173" t="s">
        <v>20</v>
      </c>
      <c r="D23" s="179"/>
      <c r="E23" s="174"/>
      <c r="F23" s="173" t="s">
        <v>21</v>
      </c>
      <c r="G23" s="174"/>
    </row>
    <row r="24" spans="1:7" s="65" customFormat="1" ht="30" customHeight="1">
      <c r="A24" s="63" t="s">
        <v>22</v>
      </c>
      <c r="B24" s="64" t="s">
        <v>23</v>
      </c>
      <c r="C24" s="136" t="s">
        <v>24</v>
      </c>
      <c r="D24" s="172"/>
      <c r="E24" s="137"/>
      <c r="F24" s="136" t="s">
        <v>25</v>
      </c>
      <c r="G24" s="137"/>
    </row>
    <row r="25" spans="1:7" s="65" customFormat="1" ht="30" customHeight="1">
      <c r="A25" s="66" t="s">
        <v>26</v>
      </c>
      <c r="B25" s="64" t="s">
        <v>27</v>
      </c>
      <c r="C25" s="136" t="s">
        <v>28</v>
      </c>
      <c r="D25" s="172"/>
      <c r="E25" s="137"/>
      <c r="F25" s="136" t="s">
        <v>29</v>
      </c>
      <c r="G25" s="137"/>
    </row>
    <row r="26" spans="1:7" s="65" customFormat="1" ht="30" customHeight="1">
      <c r="A26" s="67" t="s">
        <v>30</v>
      </c>
      <c r="B26" s="64" t="s">
        <v>31</v>
      </c>
      <c r="C26" s="136" t="s">
        <v>32</v>
      </c>
      <c r="D26" s="172"/>
      <c r="E26" s="137"/>
      <c r="F26" s="136" t="s">
        <v>33</v>
      </c>
      <c r="G26" s="137"/>
    </row>
    <row r="27" spans="1:7" s="65" customFormat="1" ht="30" customHeight="1">
      <c r="A27" s="68" t="s">
        <v>34</v>
      </c>
      <c r="B27" s="64" t="s">
        <v>35</v>
      </c>
      <c r="C27" s="136" t="s">
        <v>36</v>
      </c>
      <c r="D27" s="172"/>
      <c r="E27" s="137"/>
      <c r="F27" s="136" t="s">
        <v>37</v>
      </c>
      <c r="G27" s="137"/>
    </row>
    <row r="28" spans="1:7" s="65" customFormat="1" ht="30" customHeight="1">
      <c r="A28" s="69" t="s">
        <v>38</v>
      </c>
      <c r="B28" s="64" t="s">
        <v>39</v>
      </c>
      <c r="C28" s="136" t="s">
        <v>40</v>
      </c>
      <c r="D28" s="172"/>
      <c r="E28" s="137"/>
      <c r="F28" s="136" t="s">
        <v>41</v>
      </c>
      <c r="G28" s="137"/>
    </row>
    <row r="30" spans="1:7" s="107" customFormat="1" ht="35.25" customHeight="1">
      <c r="A30" s="163" t="s">
        <v>169</v>
      </c>
      <c r="B30" s="164"/>
      <c r="C30" s="164"/>
      <c r="D30" s="164"/>
      <c r="E30" s="164"/>
      <c r="F30" s="164"/>
      <c r="G30" s="164"/>
    </row>
    <row r="31" spans="1:7" s="107" customFormat="1" ht="25.5" customHeight="1">
      <c r="A31" s="165" t="s">
        <v>107</v>
      </c>
      <c r="B31" s="165"/>
      <c r="C31" s="165"/>
      <c r="D31" s="166" t="s">
        <v>108</v>
      </c>
      <c r="E31" s="166"/>
      <c r="F31" s="166"/>
      <c r="G31" s="166"/>
    </row>
    <row r="32" spans="1:7" s="107" customFormat="1" ht="35.25" customHeight="1">
      <c r="A32" s="108">
        <v>1</v>
      </c>
      <c r="B32" s="134" t="s">
        <v>109</v>
      </c>
      <c r="C32" s="109" t="s">
        <v>110</v>
      </c>
      <c r="D32" s="108">
        <v>1</v>
      </c>
      <c r="E32" s="109" t="s">
        <v>111</v>
      </c>
      <c r="F32" s="170" t="s">
        <v>112</v>
      </c>
      <c r="G32" s="171"/>
    </row>
    <row r="33" spans="1:12" s="107" customFormat="1" ht="35.25" customHeight="1">
      <c r="A33" s="108">
        <v>2</v>
      </c>
      <c r="B33" s="134" t="s">
        <v>113</v>
      </c>
      <c r="C33" s="109" t="s">
        <v>114</v>
      </c>
      <c r="D33" s="108">
        <v>2</v>
      </c>
      <c r="E33" s="109" t="s">
        <v>115</v>
      </c>
      <c r="F33" s="170" t="s">
        <v>116</v>
      </c>
      <c r="G33" s="171"/>
    </row>
    <row r="34" spans="1:12" s="107" customFormat="1" ht="35.25" customHeight="1">
      <c r="A34" s="108">
        <v>3</v>
      </c>
      <c r="B34" s="134" t="s">
        <v>117</v>
      </c>
      <c r="C34" s="109" t="s">
        <v>118</v>
      </c>
      <c r="D34" s="108">
        <v>3</v>
      </c>
      <c r="E34" s="109" t="s">
        <v>119</v>
      </c>
      <c r="F34" s="170" t="s">
        <v>120</v>
      </c>
      <c r="G34" s="171"/>
    </row>
    <row r="35" spans="1:12" s="107" customFormat="1" ht="35.25" customHeight="1">
      <c r="A35" s="108">
        <v>4</v>
      </c>
      <c r="B35" s="134" t="s">
        <v>121</v>
      </c>
      <c r="C35" s="109" t="s">
        <v>122</v>
      </c>
      <c r="D35" s="108">
        <v>4</v>
      </c>
      <c r="E35" s="109" t="s">
        <v>123</v>
      </c>
      <c r="F35" s="170" t="s">
        <v>124</v>
      </c>
      <c r="G35" s="171"/>
    </row>
    <row r="36" spans="1:12" s="107" customFormat="1" ht="35.25" customHeight="1">
      <c r="A36" s="108">
        <v>5</v>
      </c>
      <c r="B36" s="134" t="s">
        <v>125</v>
      </c>
      <c r="C36" s="109" t="s">
        <v>126</v>
      </c>
      <c r="D36" s="108">
        <v>5</v>
      </c>
      <c r="E36" s="109" t="s">
        <v>127</v>
      </c>
      <c r="F36" s="170" t="s">
        <v>128</v>
      </c>
      <c r="G36" s="171"/>
      <c r="H36" s="167" t="s">
        <v>129</v>
      </c>
      <c r="I36" s="168"/>
      <c r="J36" s="168"/>
      <c r="K36" s="168"/>
      <c r="L36" s="168"/>
    </row>
    <row r="37" spans="1:12" s="107" customFormat="1" ht="35.25" customHeight="1">
      <c r="A37" s="169" t="s">
        <v>130</v>
      </c>
      <c r="B37" s="169"/>
      <c r="C37" s="169"/>
      <c r="D37" s="169"/>
      <c r="E37" s="169"/>
      <c r="F37" s="169"/>
      <c r="G37" s="169"/>
      <c r="H37" s="155" t="s">
        <v>131</v>
      </c>
      <c r="I37" s="156"/>
      <c r="J37" s="156"/>
      <c r="K37" s="156"/>
      <c r="L37" s="156"/>
    </row>
    <row r="38" spans="1:12" s="107" customFormat="1" ht="35.25" customHeight="1">
      <c r="A38" s="159" t="s">
        <v>132</v>
      </c>
      <c r="B38" s="159"/>
      <c r="C38" s="160" t="s">
        <v>133</v>
      </c>
      <c r="D38" s="160"/>
      <c r="E38" s="160"/>
      <c r="F38" s="160"/>
      <c r="G38" s="160"/>
      <c r="H38" s="155" t="s">
        <v>134</v>
      </c>
      <c r="I38" s="156"/>
      <c r="J38" s="156"/>
      <c r="K38" s="156"/>
      <c r="L38" s="156"/>
    </row>
    <row r="39" spans="1:12" s="107" customFormat="1" ht="35.25" customHeight="1">
      <c r="A39" s="161" t="s">
        <v>135</v>
      </c>
      <c r="B39" s="161"/>
      <c r="C39" s="162" t="s">
        <v>136</v>
      </c>
      <c r="D39" s="162"/>
      <c r="E39" s="162"/>
      <c r="F39" s="162"/>
      <c r="G39" s="162"/>
      <c r="H39" s="155" t="s">
        <v>137</v>
      </c>
      <c r="I39" s="156"/>
      <c r="J39" s="156"/>
      <c r="K39" s="156"/>
      <c r="L39" s="156"/>
    </row>
    <row r="40" spans="1:12" s="107" customFormat="1" ht="35.25" customHeight="1">
      <c r="A40" s="153" t="s">
        <v>138</v>
      </c>
      <c r="B40" s="153"/>
      <c r="C40" s="154" t="s">
        <v>139</v>
      </c>
      <c r="D40" s="154"/>
      <c r="E40" s="154"/>
      <c r="F40" s="154"/>
      <c r="G40" s="154"/>
      <c r="H40" s="155" t="s">
        <v>140</v>
      </c>
      <c r="I40" s="156"/>
      <c r="J40" s="156"/>
      <c r="K40" s="156"/>
      <c r="L40" s="156"/>
    </row>
    <row r="41" spans="1:12" s="107" customFormat="1" ht="35.25" customHeight="1">
      <c r="A41" s="157" t="s">
        <v>141</v>
      </c>
      <c r="B41" s="157"/>
      <c r="C41" s="158" t="s">
        <v>142</v>
      </c>
      <c r="D41" s="158"/>
      <c r="E41" s="158"/>
      <c r="F41" s="158"/>
      <c r="G41" s="158"/>
    </row>
    <row r="42" spans="1:12" s="107" customFormat="1" ht="35.25" hidden="1" customHeight="1">
      <c r="A42" s="110"/>
      <c r="B42" s="151" t="s">
        <v>129</v>
      </c>
      <c r="C42" s="151"/>
      <c r="D42" s="151"/>
      <c r="E42" s="151"/>
      <c r="F42" s="151"/>
      <c r="G42" s="151"/>
    </row>
    <row r="43" spans="1:12" s="107" customFormat="1" ht="35.25" hidden="1" customHeight="1">
      <c r="A43" s="110"/>
      <c r="B43" s="152" t="s">
        <v>131</v>
      </c>
      <c r="C43" s="152"/>
      <c r="D43" s="152"/>
      <c r="E43" s="152"/>
      <c r="F43" s="152"/>
      <c r="G43" s="152"/>
    </row>
    <row r="44" spans="1:12" s="107" customFormat="1" ht="35.25" hidden="1" customHeight="1">
      <c r="A44" s="110"/>
      <c r="B44" s="152" t="s">
        <v>143</v>
      </c>
      <c r="C44" s="152"/>
      <c r="D44" s="152"/>
      <c r="E44" s="152"/>
      <c r="F44" s="152"/>
      <c r="G44" s="152"/>
    </row>
    <row r="45" spans="1:12" s="107" customFormat="1" ht="35.25" hidden="1" customHeight="1">
      <c r="A45" s="110"/>
      <c r="B45" s="152" t="s">
        <v>137</v>
      </c>
      <c r="C45" s="152"/>
      <c r="D45" s="152"/>
      <c r="E45" s="152"/>
      <c r="F45" s="152"/>
      <c r="G45" s="152"/>
    </row>
    <row r="46" spans="1:12" s="107" customFormat="1" ht="35.25" hidden="1" customHeight="1">
      <c r="A46" s="110"/>
      <c r="B46" s="152" t="s">
        <v>140</v>
      </c>
      <c r="C46" s="152"/>
      <c r="D46" s="152"/>
      <c r="E46" s="152"/>
      <c r="F46" s="152"/>
      <c r="G46" s="152"/>
    </row>
    <row r="47" spans="1:12" s="107" customFormat="1" ht="35.25" customHeight="1">
      <c r="A47" s="110"/>
      <c r="D47" s="110"/>
      <c r="E47" s="110"/>
    </row>
    <row r="48" spans="1:12" s="107" customFormat="1" ht="35.25" hidden="1" customHeight="1">
      <c r="A48" s="110"/>
      <c r="D48" s="110"/>
      <c r="E48" s="110"/>
    </row>
    <row r="49" spans="1:5" s="107" customFormat="1" ht="35.25" hidden="1" customHeight="1">
      <c r="A49" s="110"/>
      <c r="B49" s="111" t="s">
        <v>144</v>
      </c>
      <c r="D49" s="110"/>
      <c r="E49" s="110"/>
    </row>
    <row r="50" spans="1:5" s="107" customFormat="1" ht="35.25" hidden="1" customHeight="1">
      <c r="A50" s="110"/>
      <c r="B50" s="111"/>
      <c r="D50" s="110"/>
      <c r="E50" s="110"/>
    </row>
    <row r="51" spans="1:5" s="107" customFormat="1" ht="35.25" hidden="1" customHeight="1">
      <c r="A51" s="110"/>
      <c r="B51" s="111" t="s">
        <v>145</v>
      </c>
      <c r="D51" s="110"/>
      <c r="E51" s="110"/>
    </row>
    <row r="52" spans="1:5" s="107" customFormat="1" ht="35.25" hidden="1" customHeight="1">
      <c r="A52" s="110"/>
      <c r="B52" s="111"/>
      <c r="D52" s="110"/>
      <c r="E52" s="110"/>
    </row>
    <row r="53" spans="1:5" s="107" customFormat="1" ht="170.25" hidden="1" customHeight="1">
      <c r="A53" s="110"/>
      <c r="B53" s="112" t="s">
        <v>146</v>
      </c>
      <c r="D53" s="110"/>
      <c r="E53" s="110"/>
    </row>
    <row r="54" spans="1:5" s="107" customFormat="1" ht="169.5" hidden="1" customHeight="1">
      <c r="A54" s="110"/>
      <c r="B54" s="112" t="s">
        <v>147</v>
      </c>
      <c r="D54" s="110"/>
      <c r="E54" s="110"/>
    </row>
  </sheetData>
  <mergeCells count="80">
    <mergeCell ref="A8:B8"/>
    <mergeCell ref="F8:G8"/>
    <mergeCell ref="C7:E7"/>
    <mergeCell ref="C8:E8"/>
    <mergeCell ref="A1:G1"/>
    <mergeCell ref="D2:F2"/>
    <mergeCell ref="A5:G5"/>
    <mergeCell ref="A6:B6"/>
    <mergeCell ref="F6:G6"/>
    <mergeCell ref="C6:E6"/>
    <mergeCell ref="F7:G7"/>
    <mergeCell ref="F23:G23"/>
    <mergeCell ref="A11:B11"/>
    <mergeCell ref="F11:G11"/>
    <mergeCell ref="A12:B12"/>
    <mergeCell ref="F12:G12"/>
    <mergeCell ref="A13:B13"/>
    <mergeCell ref="F13:G13"/>
    <mergeCell ref="A14:G14"/>
    <mergeCell ref="A22:G22"/>
    <mergeCell ref="C23:E23"/>
    <mergeCell ref="D15:E15"/>
    <mergeCell ref="D16:E16"/>
    <mergeCell ref="D17:E17"/>
    <mergeCell ref="D18:E18"/>
    <mergeCell ref="D19:E19"/>
    <mergeCell ref="D20:E20"/>
    <mergeCell ref="C24:E24"/>
    <mergeCell ref="C25:E25"/>
    <mergeCell ref="C26:E26"/>
    <mergeCell ref="C27:E27"/>
    <mergeCell ref="C28:E28"/>
    <mergeCell ref="F27:G27"/>
    <mergeCell ref="F28:G28"/>
    <mergeCell ref="F24:G24"/>
    <mergeCell ref="F25:G25"/>
    <mergeCell ref="F26:G26"/>
    <mergeCell ref="A30:G30"/>
    <mergeCell ref="A31:C31"/>
    <mergeCell ref="D31:G31"/>
    <mergeCell ref="H36:L36"/>
    <mergeCell ref="A37:G37"/>
    <mergeCell ref="H37:L37"/>
    <mergeCell ref="F32:G32"/>
    <mergeCell ref="F33:G33"/>
    <mergeCell ref="F34:G34"/>
    <mergeCell ref="F35:G35"/>
    <mergeCell ref="F36:G36"/>
    <mergeCell ref="A38:B38"/>
    <mergeCell ref="C38:G38"/>
    <mergeCell ref="H38:L38"/>
    <mergeCell ref="A39:B39"/>
    <mergeCell ref="C39:G39"/>
    <mergeCell ref="H39:L39"/>
    <mergeCell ref="A40:B40"/>
    <mergeCell ref="C40:G40"/>
    <mergeCell ref="H40:L40"/>
    <mergeCell ref="A41:B41"/>
    <mergeCell ref="C41:G41"/>
    <mergeCell ref="B42:G42"/>
    <mergeCell ref="B43:G43"/>
    <mergeCell ref="B44:G44"/>
    <mergeCell ref="B45:G45"/>
    <mergeCell ref="B46:G46"/>
    <mergeCell ref="D21:E21"/>
    <mergeCell ref="C11:E11"/>
    <mergeCell ref="C12:E12"/>
    <mergeCell ref="C13:E13"/>
    <mergeCell ref="A2:C2"/>
    <mergeCell ref="A3:C3"/>
    <mergeCell ref="A4:C4"/>
    <mergeCell ref="D3:F3"/>
    <mergeCell ref="D4:F4"/>
    <mergeCell ref="A9:B9"/>
    <mergeCell ref="F9:G9"/>
    <mergeCell ref="A10:B10"/>
    <mergeCell ref="F10:G10"/>
    <mergeCell ref="C9:E9"/>
    <mergeCell ref="C10:E10"/>
    <mergeCell ref="A7:B7"/>
  </mergeCells>
  <printOptions horizontalCentered="1" verticalCentered="1"/>
  <pageMargins left="0.47244094488188981" right="0.31496062992125984" top="0.78740157480314965" bottom="0.55118110236220474" header="0.31496062992125984" footer="0.31496062992125984"/>
  <pageSetup paperSize="9" scale="70" orientation="landscape" r:id="rId1"/>
  <headerFooter>
    <oddHeader>&amp;L         &amp;G&amp;C&amp;"Arial,Kalın"İSG RİSK VE FIRSAT DEĞERLENDİRME FORMU</oddHeader>
    <oddFooter>&amp;LFPOP-S210-01-03-V04&amp;CKAPAK SAYFASI</oddFooter>
  </headerFooter>
  <rowBreaks count="1" manualBreakCount="1">
    <brk id="13" max="16383" man="1"/>
  </rowBreaks>
  <colBreaks count="1" manualBreakCount="1">
    <brk id="7" max="1048575" man="1"/>
  </col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L95"/>
  <sheetViews>
    <sheetView showGridLines="0" tabSelected="1" zoomScale="80" zoomScaleNormal="80" zoomScaleSheetLayoutView="70" workbookViewId="0">
      <selection activeCell="G11" sqref="G11"/>
    </sheetView>
  </sheetViews>
  <sheetFormatPr defaultRowHeight="15.75"/>
  <cols>
    <col min="1" max="1" width="2.28515625" style="36" customWidth="1"/>
    <col min="2" max="2" width="4.7109375" style="39" customWidth="1"/>
    <col min="3" max="5" width="5" style="41" customWidth="1"/>
    <col min="6" max="6" width="17.42578125" style="41" customWidth="1"/>
    <col min="7" max="7" width="22.42578125" style="42" customWidth="1"/>
    <col min="8" max="9" width="8.28515625" style="42" customWidth="1"/>
    <col min="10" max="10" width="37.85546875" style="35" customWidth="1"/>
    <col min="11" max="12" width="4.5703125" style="35" customWidth="1"/>
    <col min="13" max="13" width="6.28515625" style="35" customWidth="1"/>
    <col min="14" max="14" width="6.7109375" style="35" customWidth="1"/>
    <col min="15" max="15" width="10" style="35" customWidth="1"/>
    <col min="16" max="16" width="27.5703125" style="43" customWidth="1"/>
    <col min="17" max="17" width="11.42578125" style="44" customWidth="1"/>
    <col min="18" max="18" width="9.140625" style="34" customWidth="1"/>
    <col min="19" max="20" width="9.140625" style="45" customWidth="1"/>
    <col min="21" max="21" width="8.140625" style="35" customWidth="1"/>
    <col min="22" max="24" width="9.140625" style="36"/>
    <col min="25" max="26" width="4.28515625" style="35" customWidth="1"/>
    <col min="27" max="27" width="5.85546875" style="35" customWidth="1"/>
    <col min="28" max="28" width="5.5703125" style="35" customWidth="1"/>
    <col min="29" max="29" width="7.140625" style="35" customWidth="1"/>
    <col min="30" max="30" width="21.7109375" style="45" customWidth="1"/>
    <col min="31" max="31" width="6" style="38" customWidth="1"/>
    <col min="32" max="32" width="37.28515625" style="48" customWidth="1"/>
    <col min="33" max="33" width="4" style="37" customWidth="1"/>
    <col min="34" max="34" width="3.28515625" style="36" customWidth="1"/>
    <col min="35" max="35" width="5.140625" style="35" customWidth="1"/>
    <col min="36" max="36" width="9.7109375" style="35" customWidth="1"/>
    <col min="37" max="38" width="5.5703125" style="35" customWidth="1"/>
    <col min="39" max="16384" width="9.140625" style="36"/>
  </cols>
  <sheetData>
    <row r="1" spans="2:38" s="2" customFormat="1" ht="16.5" customHeight="1">
      <c r="C1" s="3"/>
      <c r="D1" s="3"/>
      <c r="E1" s="3"/>
      <c r="F1" s="3"/>
      <c r="G1" s="4"/>
      <c r="H1" s="4"/>
      <c r="I1" s="4"/>
      <c r="P1" s="5"/>
      <c r="Q1" s="218" t="s">
        <v>2</v>
      </c>
      <c r="R1" s="218"/>
      <c r="S1" s="218"/>
      <c r="T1" s="6" t="s">
        <v>3</v>
      </c>
      <c r="U1" s="106" t="s">
        <v>4</v>
      </c>
      <c r="AD1" s="26"/>
      <c r="AF1" s="7"/>
      <c r="AG1" s="8"/>
      <c r="AH1" s="9"/>
      <c r="AI1" s="10"/>
      <c r="AJ1" s="11"/>
      <c r="AK1" s="12"/>
      <c r="AL1" s="12"/>
    </row>
    <row r="2" spans="2:38" s="2" customFormat="1" ht="39.950000000000003" customHeight="1">
      <c r="C2" s="3"/>
      <c r="D2" s="3"/>
      <c r="E2" s="3"/>
      <c r="F2" s="3"/>
      <c r="G2" s="14"/>
      <c r="H2" s="14"/>
      <c r="I2" s="14"/>
      <c r="J2" s="47" t="s">
        <v>5</v>
      </c>
      <c r="K2" s="80"/>
      <c r="L2" s="47"/>
      <c r="M2" s="15"/>
      <c r="N2" s="15"/>
      <c r="O2" s="15"/>
      <c r="P2" s="125">
        <f ca="1">TODAY()</f>
        <v>44743</v>
      </c>
      <c r="Q2" s="219" t="s">
        <v>6</v>
      </c>
      <c r="R2" s="219"/>
      <c r="S2" s="219"/>
      <c r="T2" s="76">
        <f ca="1">COUNTIF(AE:AE,Q2)</f>
        <v>0</v>
      </c>
      <c r="U2" s="132">
        <f ca="1">T2*100/T6</f>
        <v>0</v>
      </c>
      <c r="Y2" s="81"/>
      <c r="Z2" s="47"/>
      <c r="AA2" s="15"/>
      <c r="AB2" s="15"/>
      <c r="AC2" s="15"/>
      <c r="AD2" s="81"/>
      <c r="AE2" s="16"/>
      <c r="AF2" s="17"/>
      <c r="AG2" s="13"/>
    </row>
    <row r="3" spans="2:38" s="2" customFormat="1" ht="39.950000000000003" customHeight="1">
      <c r="B3" s="18"/>
      <c r="C3" s="14"/>
      <c r="D3" s="14"/>
      <c r="E3" s="14"/>
      <c r="F3" s="14"/>
      <c r="G3" s="19"/>
      <c r="H3" s="19"/>
      <c r="I3" s="19"/>
      <c r="J3" s="47" t="s">
        <v>7</v>
      </c>
      <c r="K3" s="70">
        <f ca="1">NOW()</f>
        <v>44743.456982291667</v>
      </c>
      <c r="L3" s="47"/>
      <c r="M3" s="15"/>
      <c r="N3" s="15"/>
      <c r="O3" s="15"/>
      <c r="P3" s="20"/>
      <c r="Q3" s="220" t="s">
        <v>8</v>
      </c>
      <c r="R3" s="220"/>
      <c r="S3" s="220"/>
      <c r="T3" s="77">
        <f ca="1">COUNTIF(AE:AE,Q3)</f>
        <v>0</v>
      </c>
      <c r="U3" s="131">
        <f ca="1">T3*100/T6</f>
        <v>0</v>
      </c>
      <c r="Y3" s="81"/>
      <c r="Z3" s="47"/>
      <c r="AA3" s="15"/>
      <c r="AB3" s="15"/>
      <c r="AC3" s="15"/>
      <c r="AD3" s="82"/>
      <c r="AE3" s="16"/>
      <c r="AF3" s="17"/>
      <c r="AG3" s="13"/>
    </row>
    <row r="4" spans="2:38" s="24" customFormat="1" ht="39.950000000000003" customHeight="1">
      <c r="B4" s="21"/>
      <c r="C4" s="22"/>
      <c r="D4" s="22"/>
      <c r="E4" s="22"/>
      <c r="F4" s="22"/>
      <c r="G4" s="19"/>
      <c r="H4" s="19"/>
      <c r="I4" s="19"/>
      <c r="J4" s="23"/>
      <c r="K4" s="23"/>
      <c r="L4" s="23"/>
      <c r="M4" s="23"/>
      <c r="N4" s="23"/>
      <c r="O4" s="23"/>
      <c r="Q4" s="221" t="s">
        <v>9</v>
      </c>
      <c r="R4" s="221"/>
      <c r="S4" s="221"/>
      <c r="T4" s="78">
        <f ca="1">COUNTIF(AE:AE,Q4)</f>
        <v>10</v>
      </c>
      <c r="U4" s="130">
        <f ca="1">T4*100/T6</f>
        <v>100</v>
      </c>
      <c r="Y4" s="127"/>
      <c r="Z4" s="23"/>
      <c r="AA4" s="23"/>
      <c r="AB4" s="23"/>
      <c r="AC4" s="23"/>
      <c r="AD4" s="82"/>
      <c r="AE4" s="16"/>
      <c r="AF4" s="25"/>
      <c r="AG4" s="26"/>
    </row>
    <row r="5" spans="2:38" s="8" customFormat="1" ht="39.950000000000003" customHeight="1">
      <c r="B5" s="27"/>
      <c r="C5" s="3"/>
      <c r="D5" s="3"/>
      <c r="E5" s="3"/>
      <c r="F5" s="3"/>
      <c r="G5" s="19"/>
      <c r="H5" s="19"/>
      <c r="I5" s="19"/>
      <c r="J5" s="28"/>
      <c r="K5" s="28"/>
      <c r="L5" s="28"/>
      <c r="M5" s="28"/>
      <c r="N5" s="28"/>
      <c r="O5" s="28"/>
      <c r="Q5" s="222" t="s">
        <v>10</v>
      </c>
      <c r="R5" s="222"/>
      <c r="S5" s="222"/>
      <c r="T5" s="79">
        <f ca="1">COUNTIF(AE:AE,Q5)</f>
        <v>0</v>
      </c>
      <c r="U5" s="124">
        <f ca="1">T5*100/T6</f>
        <v>0</v>
      </c>
      <c r="Y5" s="81"/>
      <c r="Z5" s="28"/>
      <c r="AA5" s="28"/>
      <c r="AB5" s="28"/>
      <c r="AC5" s="28"/>
      <c r="AD5" s="82"/>
      <c r="AE5" s="16"/>
      <c r="AF5" s="17"/>
      <c r="AG5" s="29"/>
    </row>
    <row r="6" spans="2:38" s="2" customFormat="1" ht="39.950000000000003" customHeight="1">
      <c r="B6" s="30"/>
      <c r="C6" s="31"/>
      <c r="D6" s="31"/>
      <c r="E6" s="31"/>
      <c r="F6" s="31"/>
      <c r="G6" s="19"/>
      <c r="H6" s="19"/>
      <c r="I6" s="19"/>
      <c r="J6" s="32"/>
      <c r="K6" s="32"/>
      <c r="L6" s="32"/>
      <c r="M6" s="32"/>
      <c r="N6" s="32"/>
      <c r="O6" s="32"/>
      <c r="Q6" s="217" t="s">
        <v>11</v>
      </c>
      <c r="R6" s="217"/>
      <c r="S6" s="217"/>
      <c r="T6" s="103">
        <f ca="1">SUM(T2:T5)</f>
        <v>10</v>
      </c>
      <c r="U6" s="133">
        <f ca="1">T6*100/T6</f>
        <v>100</v>
      </c>
      <c r="Y6" s="126"/>
      <c r="Z6" s="32"/>
      <c r="AA6" s="32"/>
      <c r="AB6" s="32"/>
      <c r="AC6" s="32"/>
      <c r="AD6" s="83"/>
      <c r="AE6" s="33"/>
      <c r="AF6" s="17"/>
      <c r="AG6" s="13"/>
    </row>
    <row r="7" spans="2:38" s="2" customFormat="1" ht="36" customHeight="1">
      <c r="B7" s="199" t="s">
        <v>12</v>
      </c>
      <c r="C7" s="200" t="s">
        <v>91</v>
      </c>
      <c r="D7" s="200" t="s">
        <v>92</v>
      </c>
      <c r="E7" s="200" t="s">
        <v>93</v>
      </c>
      <c r="F7" s="203" t="s">
        <v>103</v>
      </c>
      <c r="G7" s="203"/>
      <c r="H7" s="203"/>
      <c r="I7" s="203"/>
      <c r="J7" s="203"/>
      <c r="K7" s="203"/>
      <c r="L7" s="203"/>
      <c r="M7" s="203"/>
      <c r="N7" s="203"/>
      <c r="O7" s="203"/>
      <c r="P7" s="224" t="s">
        <v>105</v>
      </c>
      <c r="Q7" s="224"/>
      <c r="R7" s="224"/>
      <c r="S7" s="224"/>
      <c r="T7" s="224"/>
      <c r="U7" s="224"/>
      <c r="V7" s="224"/>
      <c r="W7" s="224"/>
      <c r="X7" s="224"/>
      <c r="Y7" s="223" t="s">
        <v>159</v>
      </c>
      <c r="Z7" s="223"/>
      <c r="AA7" s="223"/>
      <c r="AB7" s="223"/>
      <c r="AC7" s="223"/>
      <c r="AD7" s="223"/>
      <c r="AE7" s="223"/>
      <c r="AF7" s="215" t="s">
        <v>97</v>
      </c>
      <c r="AG7" s="216"/>
      <c r="AH7" s="216"/>
      <c r="AI7" s="216"/>
      <c r="AJ7" s="216"/>
      <c r="AK7" s="216"/>
      <c r="AL7" s="216"/>
    </row>
    <row r="8" spans="2:38" s="2" customFormat="1" ht="30.75" customHeight="1">
      <c r="B8" s="199"/>
      <c r="C8" s="200"/>
      <c r="D8" s="200"/>
      <c r="E8" s="200"/>
      <c r="F8" s="205" t="s">
        <v>90</v>
      </c>
      <c r="G8" s="207" t="s">
        <v>94</v>
      </c>
      <c r="H8" s="209" t="s">
        <v>95</v>
      </c>
      <c r="I8" s="209" t="s">
        <v>96</v>
      </c>
      <c r="J8" s="191" t="s">
        <v>13</v>
      </c>
      <c r="K8" s="204" t="s">
        <v>104</v>
      </c>
      <c r="L8" s="204"/>
      <c r="M8" s="204"/>
      <c r="N8" s="204"/>
      <c r="O8" s="204"/>
      <c r="P8" s="202" t="s">
        <v>154</v>
      </c>
      <c r="Q8" s="202" t="s">
        <v>106</v>
      </c>
      <c r="R8" s="201" t="s">
        <v>1</v>
      </c>
      <c r="S8" s="196" t="s">
        <v>14</v>
      </c>
      <c r="T8" s="196" t="s">
        <v>15</v>
      </c>
      <c r="U8" s="196" t="s">
        <v>155</v>
      </c>
      <c r="V8" s="196" t="s">
        <v>156</v>
      </c>
      <c r="W8" s="196" t="s">
        <v>157</v>
      </c>
      <c r="X8" s="196" t="s">
        <v>158</v>
      </c>
      <c r="Y8" s="195" t="s">
        <v>77</v>
      </c>
      <c r="Z8" s="195" t="s">
        <v>78</v>
      </c>
      <c r="AA8" s="195" t="s">
        <v>79</v>
      </c>
      <c r="AB8" s="195" t="s">
        <v>80</v>
      </c>
      <c r="AC8" s="195" t="s">
        <v>81</v>
      </c>
      <c r="AD8" s="194" t="s">
        <v>16</v>
      </c>
      <c r="AE8" s="193" t="s">
        <v>0</v>
      </c>
      <c r="AF8" s="211" t="s">
        <v>98</v>
      </c>
      <c r="AG8" s="212" t="s">
        <v>77</v>
      </c>
      <c r="AH8" s="212" t="s">
        <v>99</v>
      </c>
      <c r="AI8" s="212" t="s">
        <v>100</v>
      </c>
      <c r="AJ8" s="213" t="s">
        <v>101</v>
      </c>
      <c r="AK8" s="197" t="s">
        <v>1</v>
      </c>
      <c r="AL8" s="197" t="s">
        <v>102</v>
      </c>
    </row>
    <row r="9" spans="2:38" s="49" customFormat="1" ht="39.75" customHeight="1">
      <c r="B9" s="199"/>
      <c r="C9" s="200"/>
      <c r="D9" s="200"/>
      <c r="E9" s="200"/>
      <c r="F9" s="206"/>
      <c r="G9" s="208"/>
      <c r="H9" s="210"/>
      <c r="I9" s="210"/>
      <c r="J9" s="192"/>
      <c r="K9" s="102" t="s">
        <v>77</v>
      </c>
      <c r="L9" s="102" t="s">
        <v>78</v>
      </c>
      <c r="M9" s="102" t="s">
        <v>79</v>
      </c>
      <c r="N9" s="102" t="s">
        <v>80</v>
      </c>
      <c r="O9" s="102" t="s">
        <v>81</v>
      </c>
      <c r="P9" s="202"/>
      <c r="Q9" s="202"/>
      <c r="R9" s="201"/>
      <c r="S9" s="196"/>
      <c r="T9" s="196"/>
      <c r="U9" s="196"/>
      <c r="V9" s="196"/>
      <c r="W9" s="196"/>
      <c r="X9" s="196"/>
      <c r="Y9" s="195"/>
      <c r="Z9" s="195"/>
      <c r="AA9" s="195"/>
      <c r="AB9" s="195"/>
      <c r="AC9" s="195"/>
      <c r="AD9" s="194"/>
      <c r="AE9" s="193"/>
      <c r="AF9" s="211"/>
      <c r="AG9" s="212"/>
      <c r="AH9" s="212"/>
      <c r="AI9" s="212"/>
      <c r="AJ9" s="214"/>
      <c r="AK9" s="198"/>
      <c r="AL9" s="198"/>
    </row>
    <row r="10" spans="2:38" s="40" customFormat="1" ht="74.25" customHeight="1">
      <c r="B10" s="85"/>
      <c r="C10" s="84"/>
      <c r="D10" s="84"/>
      <c r="E10" s="122"/>
      <c r="F10" s="90"/>
      <c r="G10" s="86"/>
      <c r="H10" s="121"/>
      <c r="I10" s="123"/>
      <c r="J10" s="87"/>
      <c r="K10" s="88"/>
      <c r="L10" s="88"/>
      <c r="M10" s="88"/>
      <c r="N10" s="88">
        <f t="shared" ref="N10:N17" si="0">K10*L10*M10</f>
        <v>0</v>
      </c>
      <c r="O10" s="89" t="str">
        <f t="shared" ref="O10:O17" si="1">IF(N10&gt;=400, "TOLERE EDİLEMEZ RİSK",IF(AND(N10&gt;=200, N10&lt;400),"YÜKSEK RİSK",IF(AND(N10&gt;=70, N10&lt;200),"ÖNEMLİ RİSK",IF(AND(N10&gt;=20, N10&lt;70),"OLASI RİSK",IF(AND(N10&lt;20, N10&gt;0), "DÜŞÜK RİSK","")))))</f>
        <v/>
      </c>
      <c r="P10" s="90"/>
      <c r="Q10" s="91"/>
      <c r="R10" s="92"/>
      <c r="S10" s="93"/>
      <c r="T10" s="92"/>
      <c r="U10" s="105"/>
      <c r="V10" s="105"/>
      <c r="W10" s="105"/>
      <c r="X10" s="105"/>
      <c r="Y10" s="88"/>
      <c r="Z10" s="88"/>
      <c r="AA10" s="88"/>
      <c r="AB10" s="88">
        <f t="shared" ref="AB10:AB17" si="2">Y10*Z10*AA10</f>
        <v>0</v>
      </c>
      <c r="AC10" s="89" t="str">
        <f t="shared" ref="AC10:AC17" si="3">IF(AB10&gt;=400, "TOLERE EDİLEMEZ RİSK",IF(AND(AB10&gt;=200, AB10&lt;400),"YÜKSEK RİSK",IF(AND(AB10&gt;=70, AB10&lt;200),"ÖNEMLİ RİSK",IF(AND(AB10&gt;=20, AB10&lt;70),"OLASI RİSK",IF(AND(AB10&lt;20, AB10&gt;0), "DÜŞÜK RİSK","")))))</f>
        <v/>
      </c>
      <c r="AD10" s="93"/>
      <c r="AE10" s="94" t="str">
        <f t="shared" ref="AE10:AE19" ca="1" si="4">IF(CELL("tür",T10)="d","Tamamlanan",IF(AND(R10="",S10="",T10=""),"Görüşülecek - Hedef tarih yok",IF(AND(OR(R10&gt;$P$2,S10&gt;$P$2),CELL("tür",T10)="b"),"Zaman Var",IF(AND(R10&lt;=$P$2,S10&lt;=$P$2,CELL("tür",T10)="b"),"Hedef Tarihi Geçen"))))</f>
        <v>Görüşülecek - Hedef tarih yok</v>
      </c>
      <c r="AF10" s="104"/>
      <c r="AG10" s="128"/>
      <c r="AH10" s="128"/>
      <c r="AI10" s="129">
        <f t="shared" ref="AI10:AI15" si="5">AG10*AH10</f>
        <v>0</v>
      </c>
      <c r="AJ10" s="104"/>
      <c r="AK10" s="84"/>
      <c r="AL10" s="84"/>
    </row>
    <row r="11" spans="2:38" s="40" customFormat="1" ht="57.75" customHeight="1">
      <c r="B11" s="85"/>
      <c r="C11" s="84"/>
      <c r="D11" s="84"/>
      <c r="E11" s="122"/>
      <c r="F11" s="90"/>
      <c r="G11" s="86"/>
      <c r="H11" s="121"/>
      <c r="I11" s="123"/>
      <c r="J11" s="87"/>
      <c r="K11" s="88"/>
      <c r="L11" s="88"/>
      <c r="M11" s="88"/>
      <c r="N11" s="88">
        <f>K11*L11*M11</f>
        <v>0</v>
      </c>
      <c r="O11" s="89" t="str">
        <f t="shared" si="1"/>
        <v/>
      </c>
      <c r="P11" s="90"/>
      <c r="Q11" s="91"/>
      <c r="R11" s="92"/>
      <c r="S11" s="93"/>
      <c r="T11" s="92"/>
      <c r="U11" s="105"/>
      <c r="V11" s="105"/>
      <c r="W11" s="105"/>
      <c r="X11" s="105"/>
      <c r="Y11" s="88"/>
      <c r="Z11" s="88"/>
      <c r="AA11" s="88"/>
      <c r="AB11" s="88">
        <f t="shared" si="2"/>
        <v>0</v>
      </c>
      <c r="AC11" s="89" t="str">
        <f t="shared" si="3"/>
        <v/>
      </c>
      <c r="AD11" s="93" t="s">
        <v>153</v>
      </c>
      <c r="AE11" s="94" t="str">
        <f t="shared" ca="1" si="4"/>
        <v>Görüşülecek - Hedef tarih yok</v>
      </c>
      <c r="AF11" s="104"/>
      <c r="AG11" s="128"/>
      <c r="AH11" s="128"/>
      <c r="AI11" s="129">
        <f t="shared" si="5"/>
        <v>0</v>
      </c>
      <c r="AJ11" s="104"/>
      <c r="AK11" s="84"/>
      <c r="AL11" s="84"/>
    </row>
    <row r="12" spans="2:38" s="40" customFormat="1" ht="57.75" customHeight="1">
      <c r="B12" s="85"/>
      <c r="C12" s="84"/>
      <c r="D12" s="84"/>
      <c r="E12" s="122"/>
      <c r="F12" s="90"/>
      <c r="G12" s="86"/>
      <c r="H12" s="121"/>
      <c r="I12" s="123"/>
      <c r="J12" s="87"/>
      <c r="K12" s="88"/>
      <c r="L12" s="88"/>
      <c r="M12" s="88"/>
      <c r="N12" s="88">
        <f t="shared" si="0"/>
        <v>0</v>
      </c>
      <c r="O12" s="89" t="str">
        <f t="shared" si="1"/>
        <v/>
      </c>
      <c r="P12" s="90"/>
      <c r="Q12" s="91"/>
      <c r="R12" s="92"/>
      <c r="S12" s="93"/>
      <c r="T12" s="92"/>
      <c r="U12" s="105"/>
      <c r="V12" s="105"/>
      <c r="W12" s="105"/>
      <c r="X12" s="92"/>
      <c r="Y12" s="88"/>
      <c r="Z12" s="88"/>
      <c r="AA12" s="88"/>
      <c r="AB12" s="88">
        <f t="shared" si="2"/>
        <v>0</v>
      </c>
      <c r="AC12" s="89" t="str">
        <f t="shared" si="3"/>
        <v/>
      </c>
      <c r="AD12" s="93"/>
      <c r="AE12" s="94" t="str">
        <f t="shared" ca="1" si="4"/>
        <v>Görüşülecek - Hedef tarih yok</v>
      </c>
      <c r="AF12" s="104"/>
      <c r="AG12" s="128"/>
      <c r="AH12" s="128"/>
      <c r="AI12" s="129">
        <f t="shared" si="5"/>
        <v>0</v>
      </c>
      <c r="AJ12" s="91"/>
      <c r="AK12" s="84"/>
      <c r="AL12" s="84"/>
    </row>
    <row r="13" spans="2:38" s="40" customFormat="1" ht="57.75" customHeight="1">
      <c r="B13" s="85"/>
      <c r="C13" s="84"/>
      <c r="D13" s="84"/>
      <c r="E13" s="122"/>
      <c r="F13" s="90"/>
      <c r="G13" s="86"/>
      <c r="H13" s="121"/>
      <c r="I13" s="123"/>
      <c r="J13" s="87"/>
      <c r="K13" s="88"/>
      <c r="L13" s="88"/>
      <c r="M13" s="88"/>
      <c r="N13" s="88">
        <f t="shared" ref="N13" si="6">K13*L13*M13</f>
        <v>0</v>
      </c>
      <c r="O13" s="89" t="str">
        <f t="shared" ref="O13" si="7">IF(N13&gt;=400, "TOLERE EDİLEMEZ RİSK",IF(AND(N13&gt;=200, N13&lt;400),"YÜKSEK RİSK",IF(AND(N13&gt;=70, N13&lt;200),"ÖNEMLİ RİSK",IF(AND(N13&gt;=20, N13&lt;70),"OLASI RİSK",IF(AND(N13&lt;20, N13&gt;0), "DÜŞÜK RİSK","")))))</f>
        <v/>
      </c>
      <c r="P13" s="90"/>
      <c r="Q13" s="91"/>
      <c r="R13" s="92"/>
      <c r="S13" s="93"/>
      <c r="T13" s="92"/>
      <c r="U13" s="105"/>
      <c r="V13" s="105"/>
      <c r="W13" s="105"/>
      <c r="X13" s="92"/>
      <c r="Y13" s="88"/>
      <c r="Z13" s="88"/>
      <c r="AA13" s="88"/>
      <c r="AB13" s="88">
        <f t="shared" ref="AB13" si="8">Y13*Z13*AA13</f>
        <v>0</v>
      </c>
      <c r="AC13" s="89" t="str">
        <f t="shared" ref="AC13" si="9">IF(AB13&gt;=400, "TOLERE EDİLEMEZ RİSK",IF(AND(AB13&gt;=200, AB13&lt;400),"YÜKSEK RİSK",IF(AND(AB13&gt;=70, AB13&lt;200),"ÖNEMLİ RİSK",IF(AND(AB13&gt;=20, AB13&lt;70),"OLASI RİSK",IF(AND(AB13&lt;20, AB13&gt;0), "DÜŞÜK RİSK","")))))</f>
        <v/>
      </c>
      <c r="AD13" s="93"/>
      <c r="AE13" s="94" t="str">
        <f t="shared" ca="1" si="4"/>
        <v>Görüşülecek - Hedef tarih yok</v>
      </c>
      <c r="AF13" s="104"/>
      <c r="AG13" s="128"/>
      <c r="AH13" s="128"/>
      <c r="AI13" s="129">
        <f t="shared" si="5"/>
        <v>0</v>
      </c>
      <c r="AJ13" s="91"/>
      <c r="AK13" s="84"/>
      <c r="AL13" s="84"/>
    </row>
    <row r="14" spans="2:38" s="40" customFormat="1" ht="57.75" customHeight="1">
      <c r="B14" s="85"/>
      <c r="C14" s="84"/>
      <c r="D14" s="84"/>
      <c r="E14" s="122"/>
      <c r="F14" s="90"/>
      <c r="G14" s="86"/>
      <c r="H14" s="121"/>
      <c r="I14" s="123"/>
      <c r="J14" s="87"/>
      <c r="K14" s="88"/>
      <c r="L14" s="88"/>
      <c r="M14" s="88"/>
      <c r="N14" s="88">
        <f t="shared" ref="N14" si="10">K14*L14*M14</f>
        <v>0</v>
      </c>
      <c r="O14" s="89" t="str">
        <f t="shared" ref="O14" si="11">IF(N14&gt;=400, "TOLERE EDİLEMEZ RİSK",IF(AND(N14&gt;=200, N14&lt;400),"YÜKSEK RİSK",IF(AND(N14&gt;=70, N14&lt;200),"ÖNEMLİ RİSK",IF(AND(N14&gt;=20, N14&lt;70),"OLASI RİSK",IF(AND(N14&lt;20, N14&gt;0), "DÜŞÜK RİSK","")))))</f>
        <v/>
      </c>
      <c r="P14" s="90"/>
      <c r="Q14" s="91"/>
      <c r="R14" s="92"/>
      <c r="S14" s="93"/>
      <c r="T14" s="92"/>
      <c r="U14" s="105"/>
      <c r="V14" s="105"/>
      <c r="W14" s="105"/>
      <c r="X14" s="92"/>
      <c r="Y14" s="88"/>
      <c r="Z14" s="88"/>
      <c r="AA14" s="88"/>
      <c r="AB14" s="88">
        <f t="shared" ref="AB14" si="12">Y14*Z14*AA14</f>
        <v>0</v>
      </c>
      <c r="AC14" s="89" t="str">
        <f t="shared" ref="AC14" si="13">IF(AB14&gt;=400, "TOLERE EDİLEMEZ RİSK",IF(AND(AB14&gt;=200, AB14&lt;400),"YÜKSEK RİSK",IF(AND(AB14&gt;=70, AB14&lt;200),"ÖNEMLİ RİSK",IF(AND(AB14&gt;=20, AB14&lt;70),"OLASI RİSK",IF(AND(AB14&lt;20, AB14&gt;0), "DÜŞÜK RİSK","")))))</f>
        <v/>
      </c>
      <c r="AD14" s="93"/>
      <c r="AE14" s="94" t="str">
        <f t="shared" ca="1" si="4"/>
        <v>Görüşülecek - Hedef tarih yok</v>
      </c>
      <c r="AF14" s="104"/>
      <c r="AG14" s="128"/>
      <c r="AH14" s="128"/>
      <c r="AI14" s="129">
        <f t="shared" si="5"/>
        <v>0</v>
      </c>
      <c r="AJ14" s="91"/>
      <c r="AK14" s="84"/>
      <c r="AL14" s="84"/>
    </row>
    <row r="15" spans="2:38" s="40" customFormat="1" ht="57.75" customHeight="1">
      <c r="B15" s="85"/>
      <c r="C15" s="84"/>
      <c r="D15" s="84"/>
      <c r="E15" s="122"/>
      <c r="F15" s="90"/>
      <c r="G15" s="86"/>
      <c r="H15" s="121"/>
      <c r="I15" s="123"/>
      <c r="J15" s="87"/>
      <c r="K15" s="88"/>
      <c r="L15" s="88"/>
      <c r="M15" s="88"/>
      <c r="N15" s="88">
        <f t="shared" si="0"/>
        <v>0</v>
      </c>
      <c r="O15" s="89" t="str">
        <f t="shared" si="1"/>
        <v/>
      </c>
      <c r="P15" s="90"/>
      <c r="Q15" s="91"/>
      <c r="R15" s="92"/>
      <c r="S15" s="93"/>
      <c r="T15" s="92"/>
      <c r="U15" s="105"/>
      <c r="V15" s="92"/>
      <c r="W15" s="105"/>
      <c r="X15" s="92"/>
      <c r="Y15" s="88"/>
      <c r="Z15" s="88"/>
      <c r="AA15" s="88"/>
      <c r="AB15" s="88">
        <f t="shared" si="2"/>
        <v>0</v>
      </c>
      <c r="AC15" s="89" t="str">
        <f t="shared" si="3"/>
        <v/>
      </c>
      <c r="AD15" s="93" t="s">
        <v>153</v>
      </c>
      <c r="AE15" s="94" t="str">
        <f t="shared" ca="1" si="4"/>
        <v>Görüşülecek - Hedef tarih yok</v>
      </c>
      <c r="AF15" s="104"/>
      <c r="AG15" s="128"/>
      <c r="AH15" s="128"/>
      <c r="AI15" s="129">
        <f t="shared" si="5"/>
        <v>0</v>
      </c>
      <c r="AJ15" s="91"/>
      <c r="AK15" s="84"/>
      <c r="AL15" s="84"/>
    </row>
    <row r="16" spans="2:38" s="40" customFormat="1" ht="57.75" customHeight="1">
      <c r="B16" s="85"/>
      <c r="C16" s="84"/>
      <c r="D16" s="84"/>
      <c r="E16" s="122"/>
      <c r="F16" s="90"/>
      <c r="G16" s="86"/>
      <c r="H16" s="121"/>
      <c r="I16" s="123"/>
      <c r="J16" s="135"/>
      <c r="K16" s="88"/>
      <c r="L16" s="88"/>
      <c r="M16" s="88"/>
      <c r="N16" s="88">
        <f t="shared" si="0"/>
        <v>0</v>
      </c>
      <c r="O16" s="89" t="str">
        <f t="shared" si="1"/>
        <v/>
      </c>
      <c r="P16" s="90"/>
      <c r="Q16" s="91"/>
      <c r="R16" s="92"/>
      <c r="S16" s="93"/>
      <c r="T16" s="92"/>
      <c r="U16" s="105"/>
      <c r="V16" s="105"/>
      <c r="W16" s="105"/>
      <c r="X16" s="105"/>
      <c r="Y16" s="88"/>
      <c r="Z16" s="88"/>
      <c r="AA16" s="88"/>
      <c r="AB16" s="88">
        <f t="shared" si="2"/>
        <v>0</v>
      </c>
      <c r="AC16" s="89" t="str">
        <f t="shared" si="3"/>
        <v/>
      </c>
      <c r="AD16" s="93" t="s">
        <v>153</v>
      </c>
      <c r="AE16" s="94" t="str">
        <f t="shared" ca="1" si="4"/>
        <v>Görüşülecek - Hedef tarih yok</v>
      </c>
      <c r="AF16" s="104"/>
      <c r="AG16" s="128"/>
      <c r="AH16" s="128"/>
      <c r="AI16" s="129">
        <f t="shared" ref="AI16:AI18" si="14">AG16*AH16</f>
        <v>0</v>
      </c>
      <c r="AJ16" s="91"/>
      <c r="AK16" s="84"/>
      <c r="AL16" s="84"/>
    </row>
    <row r="17" spans="2:38" s="40" customFormat="1" ht="57.75" customHeight="1">
      <c r="B17" s="85"/>
      <c r="C17" s="84"/>
      <c r="D17" s="84"/>
      <c r="E17" s="122"/>
      <c r="F17" s="90"/>
      <c r="G17" s="86"/>
      <c r="H17" s="121"/>
      <c r="I17" s="123"/>
      <c r="J17" s="87"/>
      <c r="K17" s="88"/>
      <c r="L17" s="88"/>
      <c r="M17" s="88"/>
      <c r="N17" s="88">
        <f t="shared" si="0"/>
        <v>0</v>
      </c>
      <c r="O17" s="89" t="str">
        <f t="shared" si="1"/>
        <v/>
      </c>
      <c r="P17" s="90"/>
      <c r="Q17" s="91"/>
      <c r="R17" s="92"/>
      <c r="S17" s="93"/>
      <c r="T17" s="92"/>
      <c r="U17" s="105"/>
      <c r="V17" s="92"/>
      <c r="W17" s="105"/>
      <c r="X17" s="92"/>
      <c r="Y17" s="88"/>
      <c r="Z17" s="88"/>
      <c r="AA17" s="88"/>
      <c r="AB17" s="88">
        <f t="shared" si="2"/>
        <v>0</v>
      </c>
      <c r="AC17" s="89" t="str">
        <f t="shared" si="3"/>
        <v/>
      </c>
      <c r="AD17" s="93" t="s">
        <v>153</v>
      </c>
      <c r="AE17" s="94" t="str">
        <f t="shared" ca="1" si="4"/>
        <v>Görüşülecek - Hedef tarih yok</v>
      </c>
      <c r="AF17" s="104"/>
      <c r="AG17" s="128"/>
      <c r="AH17" s="128"/>
      <c r="AI17" s="129">
        <f t="shared" si="14"/>
        <v>0</v>
      </c>
      <c r="AJ17" s="91"/>
      <c r="AK17" s="84"/>
      <c r="AL17" s="84"/>
    </row>
    <row r="18" spans="2:38" s="40" customFormat="1" ht="57.75" customHeight="1">
      <c r="B18" s="85"/>
      <c r="C18" s="84"/>
      <c r="D18" s="84"/>
      <c r="E18" s="122"/>
      <c r="F18" s="90"/>
      <c r="G18" s="86"/>
      <c r="H18" s="121"/>
      <c r="I18" s="123"/>
      <c r="J18" s="87"/>
      <c r="K18" s="88"/>
      <c r="L18" s="88"/>
      <c r="M18" s="88"/>
      <c r="N18" s="88">
        <f t="shared" ref="N18" si="15">K18*L18*M18</f>
        <v>0</v>
      </c>
      <c r="O18" s="89" t="str">
        <f t="shared" ref="O18" si="16">IF(N18&gt;=400, "TOLERE EDİLEMEZ RİSK",IF(AND(N18&gt;=200, N18&lt;400),"YÜKSEK RİSK",IF(AND(N18&gt;=70, N18&lt;200),"ÖNEMLİ RİSK",IF(AND(N18&gt;=20, N18&lt;70),"OLASI RİSK",IF(AND(N18&lt;20, N18&gt;0), "DÜŞÜK RİSK","")))))</f>
        <v/>
      </c>
      <c r="P18" s="90"/>
      <c r="Q18" s="91"/>
      <c r="R18" s="92"/>
      <c r="S18" s="93"/>
      <c r="T18" s="92"/>
      <c r="U18" s="105"/>
      <c r="V18" s="92"/>
      <c r="W18" s="105"/>
      <c r="X18" s="92"/>
      <c r="Y18" s="88"/>
      <c r="Z18" s="88"/>
      <c r="AA18" s="88"/>
      <c r="AB18" s="88">
        <f t="shared" ref="AB18" si="17">Y18*Z18*AA18</f>
        <v>0</v>
      </c>
      <c r="AC18" s="89" t="str">
        <f t="shared" ref="AC18" si="18">IF(AB18&gt;=400, "TOLERE EDİLEMEZ RİSK",IF(AND(AB18&gt;=200, AB18&lt;400),"YÜKSEK RİSK",IF(AND(AB18&gt;=70, AB18&lt;200),"ÖNEMLİ RİSK",IF(AND(AB18&gt;=20, AB18&lt;70),"OLASI RİSK",IF(AND(AB18&lt;20, AB18&gt;0), "DÜŞÜK RİSK","")))))</f>
        <v/>
      </c>
      <c r="AD18" s="93"/>
      <c r="AE18" s="94" t="str">
        <f t="shared" ca="1" si="4"/>
        <v>Görüşülecek - Hedef tarih yok</v>
      </c>
      <c r="AF18" s="104"/>
      <c r="AG18" s="128"/>
      <c r="AH18" s="128"/>
      <c r="AI18" s="129">
        <f t="shared" si="14"/>
        <v>0</v>
      </c>
      <c r="AJ18" s="91"/>
      <c r="AK18" s="84"/>
      <c r="AL18" s="84"/>
    </row>
    <row r="19" spans="2:38" s="40" customFormat="1" ht="57.75" customHeight="1">
      <c r="B19" s="85"/>
      <c r="C19" s="84"/>
      <c r="D19" s="84"/>
      <c r="E19" s="122"/>
      <c r="F19" s="90"/>
      <c r="G19" s="86"/>
      <c r="H19" s="121"/>
      <c r="I19" s="123"/>
      <c r="J19" s="87"/>
      <c r="K19" s="88"/>
      <c r="L19" s="88"/>
      <c r="M19" s="88"/>
      <c r="N19" s="88">
        <f t="shared" ref="N19" si="19">K19*L19*M19</f>
        <v>0</v>
      </c>
      <c r="O19" s="89" t="str">
        <f t="shared" ref="O19" si="20">IF(N19&gt;=400, "TOLERE EDİLEMEZ RİSK",IF(AND(N19&gt;=200, N19&lt;400),"YÜKSEK RİSK",IF(AND(N19&gt;=70, N19&lt;200),"ÖNEMLİ RİSK",IF(AND(N19&gt;=20, N19&lt;70),"OLASI RİSK",IF(AND(N19&lt;20, N19&gt;0), "DÜŞÜK RİSK","")))))</f>
        <v/>
      </c>
      <c r="P19" s="90"/>
      <c r="Q19" s="91"/>
      <c r="R19" s="92"/>
      <c r="S19" s="93"/>
      <c r="T19" s="92"/>
      <c r="U19" s="105"/>
      <c r="V19" s="92"/>
      <c r="W19" s="105"/>
      <c r="X19" s="92"/>
      <c r="Y19" s="88"/>
      <c r="Z19" s="88"/>
      <c r="AA19" s="88"/>
      <c r="AB19" s="88">
        <f t="shared" ref="AB19" si="21">Y19*Z19*AA19</f>
        <v>0</v>
      </c>
      <c r="AC19" s="89" t="str">
        <f t="shared" ref="AC19" si="22">IF(AB19&gt;=400, "TOLERE EDİLEMEZ RİSK",IF(AND(AB19&gt;=200, AB19&lt;400),"YÜKSEK RİSK",IF(AND(AB19&gt;=70, AB19&lt;200),"ÖNEMLİ RİSK",IF(AND(AB19&gt;=20, AB19&lt;70),"OLASI RİSK",IF(AND(AB19&lt;20, AB19&gt;0), "DÜŞÜK RİSK","")))))</f>
        <v/>
      </c>
      <c r="AD19" s="93"/>
      <c r="AE19" s="94" t="str">
        <f t="shared" ca="1" si="4"/>
        <v>Görüşülecek - Hedef tarih yok</v>
      </c>
      <c r="AF19" s="104"/>
      <c r="AG19" s="128"/>
      <c r="AH19" s="128"/>
      <c r="AI19" s="129">
        <f t="shared" ref="AI19:AI20" si="23">AG19*AH19</f>
        <v>0</v>
      </c>
      <c r="AJ19" s="91"/>
      <c r="AK19" s="84"/>
      <c r="AL19" s="84"/>
    </row>
    <row r="20" spans="2:38" s="40" customFormat="1" ht="57.75" customHeight="1">
      <c r="B20" s="85"/>
      <c r="C20" s="84"/>
      <c r="D20" s="84"/>
      <c r="E20" s="122"/>
      <c r="F20" s="90"/>
      <c r="G20" s="86"/>
      <c r="H20" s="121"/>
      <c r="I20" s="123"/>
      <c r="J20" s="87"/>
      <c r="K20" s="88"/>
      <c r="L20" s="88"/>
      <c r="M20" s="88"/>
      <c r="N20" s="88">
        <f t="shared" ref="N20" si="24">K20*L20*M20</f>
        <v>0</v>
      </c>
      <c r="O20" s="89" t="str">
        <f t="shared" ref="O20" si="25">IF(N20&gt;=400, "TOLERE EDİLEMEZ RİSK",IF(AND(N20&gt;=200, N20&lt;400),"YÜKSEK RİSK",IF(AND(N20&gt;=70, N20&lt;200),"ÖNEMLİ RİSK",IF(AND(N20&gt;=20, N20&lt;70),"OLASI RİSK",IF(AND(N20&lt;20, N20&gt;0), "DÜŞÜK RİSK","")))))</f>
        <v/>
      </c>
      <c r="P20" s="90"/>
      <c r="Q20" s="91"/>
      <c r="R20" s="92"/>
      <c r="S20" s="93"/>
      <c r="T20" s="92"/>
      <c r="U20" s="105"/>
      <c r="V20" s="92"/>
      <c r="W20" s="105"/>
      <c r="X20" s="92"/>
      <c r="Y20" s="88"/>
      <c r="Z20" s="88"/>
      <c r="AA20" s="88"/>
      <c r="AB20" s="88">
        <f t="shared" ref="AB20" si="26">Y20*Z20*AA20</f>
        <v>0</v>
      </c>
      <c r="AC20" s="89" t="str">
        <f t="shared" ref="AC20" si="27">IF(AB20&gt;=400, "TOLERE EDİLEMEZ RİSK",IF(AND(AB20&gt;=200, AB20&lt;400),"YÜKSEK RİSK",IF(AND(AB20&gt;=70, AB20&lt;200),"ÖNEMLİ RİSK",IF(AND(AB20&gt;=20, AB20&lt;70),"OLASI RİSK",IF(AND(AB20&lt;20, AB20&gt;0), "DÜŞÜK RİSK","")))))</f>
        <v/>
      </c>
      <c r="AD20" s="93"/>
      <c r="AE20" s="94"/>
      <c r="AF20" s="104"/>
      <c r="AG20" s="128"/>
      <c r="AH20" s="128"/>
      <c r="AI20" s="129">
        <f t="shared" si="23"/>
        <v>0</v>
      </c>
      <c r="AJ20" s="91"/>
      <c r="AK20" s="84"/>
      <c r="AL20" s="84"/>
    </row>
    <row r="21" spans="2:38" s="40" customFormat="1" ht="12.75">
      <c r="B21" s="97"/>
      <c r="C21" s="41"/>
      <c r="D21" s="41"/>
      <c r="E21" s="41"/>
      <c r="F21" s="41"/>
      <c r="G21" s="42"/>
      <c r="H21" s="42"/>
      <c r="I21" s="42"/>
      <c r="J21" s="95"/>
      <c r="K21" s="95"/>
      <c r="L21" s="95"/>
      <c r="M21" s="95"/>
      <c r="N21" s="95"/>
      <c r="O21" s="95"/>
      <c r="P21" s="41"/>
      <c r="Q21" s="98"/>
      <c r="R21" s="99"/>
      <c r="S21" s="100"/>
      <c r="T21" s="100"/>
      <c r="U21" s="95"/>
      <c r="Y21" s="95"/>
      <c r="Z21" s="95"/>
      <c r="AA21" s="95"/>
      <c r="AB21" s="95"/>
      <c r="AC21" s="95"/>
      <c r="AD21" s="100"/>
      <c r="AE21" s="101"/>
      <c r="AF21" s="95"/>
      <c r="AG21" s="96"/>
      <c r="AI21" s="95"/>
      <c r="AJ21" s="95"/>
      <c r="AK21" s="95"/>
      <c r="AL21" s="95"/>
    </row>
    <row r="22" spans="2:38" s="40" customFormat="1" ht="12.75">
      <c r="B22" s="97"/>
      <c r="C22" s="41"/>
      <c r="D22" s="41"/>
      <c r="E22" s="41"/>
      <c r="F22" s="41"/>
      <c r="G22" s="42"/>
      <c r="H22" s="42"/>
      <c r="I22" s="42"/>
      <c r="J22" s="95"/>
      <c r="K22" s="95"/>
      <c r="L22" s="95"/>
      <c r="M22" s="95"/>
      <c r="N22" s="95"/>
      <c r="O22" s="95"/>
      <c r="P22" s="41"/>
      <c r="Q22" s="98"/>
      <c r="R22" s="99"/>
      <c r="S22" s="100"/>
      <c r="T22" s="100"/>
      <c r="U22" s="95"/>
      <c r="Y22" s="95"/>
      <c r="Z22" s="95"/>
      <c r="AA22" s="95"/>
      <c r="AB22" s="95"/>
      <c r="AC22" s="95"/>
      <c r="AD22" s="100"/>
      <c r="AE22" s="101"/>
      <c r="AF22" s="95"/>
      <c r="AG22" s="96"/>
      <c r="AI22" s="95"/>
      <c r="AJ22" s="95"/>
      <c r="AK22" s="95"/>
      <c r="AL22" s="95"/>
    </row>
    <row r="23" spans="2:38" s="40" customFormat="1" ht="12.75">
      <c r="B23" s="97"/>
      <c r="C23" s="41"/>
      <c r="D23" s="41"/>
      <c r="E23" s="41"/>
      <c r="F23" s="41"/>
      <c r="G23" s="42"/>
      <c r="H23" s="42"/>
      <c r="I23" s="42"/>
      <c r="J23" s="95"/>
      <c r="K23" s="95"/>
      <c r="L23" s="95"/>
      <c r="M23" s="95"/>
      <c r="N23" s="95"/>
      <c r="O23" s="95"/>
      <c r="P23" s="41"/>
      <c r="Q23" s="98"/>
      <c r="R23" s="99"/>
      <c r="S23" s="100"/>
      <c r="T23" s="100"/>
      <c r="U23" s="95"/>
      <c r="Y23" s="95"/>
      <c r="Z23" s="95"/>
      <c r="AA23" s="95"/>
      <c r="AB23" s="95"/>
      <c r="AC23" s="95"/>
      <c r="AD23" s="100"/>
      <c r="AE23" s="101"/>
      <c r="AF23" s="95"/>
      <c r="AG23" s="96"/>
      <c r="AI23" s="95"/>
      <c r="AJ23" s="95"/>
      <c r="AK23" s="95"/>
      <c r="AL23" s="95"/>
    </row>
    <row r="24" spans="2:38" s="40" customFormat="1" ht="12.75">
      <c r="B24" s="97"/>
      <c r="C24" s="41"/>
      <c r="D24" s="41"/>
      <c r="E24" s="41"/>
      <c r="F24" s="41"/>
      <c r="G24" s="42"/>
      <c r="H24" s="42"/>
      <c r="I24" s="42"/>
      <c r="J24" s="95"/>
      <c r="K24" s="95"/>
      <c r="L24" s="95"/>
      <c r="M24" s="95"/>
      <c r="N24" s="95"/>
      <c r="O24" s="95"/>
      <c r="P24" s="41"/>
      <c r="Q24" s="98"/>
      <c r="R24" s="99"/>
      <c r="S24" s="100"/>
      <c r="T24" s="100"/>
      <c r="U24" s="95"/>
      <c r="Y24" s="95"/>
      <c r="Z24" s="95"/>
      <c r="AA24" s="95"/>
      <c r="AB24" s="95"/>
      <c r="AC24" s="95"/>
      <c r="AD24" s="100"/>
      <c r="AE24" s="101"/>
      <c r="AF24" s="95"/>
      <c r="AG24" s="96"/>
      <c r="AI24" s="95"/>
      <c r="AJ24" s="95"/>
      <c r="AK24" s="95"/>
      <c r="AL24" s="95"/>
    </row>
    <row r="25" spans="2:38" s="40" customFormat="1" ht="12.75">
      <c r="B25" s="97"/>
      <c r="C25" s="41"/>
      <c r="D25" s="41"/>
      <c r="E25" s="41"/>
      <c r="F25" s="41"/>
      <c r="G25" s="42"/>
      <c r="H25" s="42"/>
      <c r="I25" s="42"/>
      <c r="J25" s="95"/>
      <c r="K25" s="95"/>
      <c r="L25" s="95"/>
      <c r="M25" s="95"/>
      <c r="N25" s="95"/>
      <c r="O25" s="95"/>
      <c r="P25" s="41"/>
      <c r="Q25" s="98"/>
      <c r="R25" s="99"/>
      <c r="S25" s="100"/>
      <c r="T25" s="100"/>
      <c r="U25" s="95"/>
      <c r="Y25" s="95"/>
      <c r="Z25" s="95"/>
      <c r="AA25" s="95"/>
      <c r="AB25" s="95"/>
      <c r="AC25" s="95"/>
      <c r="AD25" s="100"/>
      <c r="AE25" s="101"/>
      <c r="AF25" s="95"/>
      <c r="AG25" s="96"/>
      <c r="AI25" s="95"/>
      <c r="AJ25" s="95"/>
      <c r="AK25" s="95"/>
      <c r="AL25" s="95"/>
    </row>
    <row r="26" spans="2:38" s="40" customFormat="1" ht="12.75">
      <c r="B26" s="97"/>
      <c r="C26" s="41"/>
      <c r="D26" s="41"/>
      <c r="E26" s="41"/>
      <c r="F26" s="41"/>
      <c r="G26" s="42"/>
      <c r="H26" s="42"/>
      <c r="I26" s="42"/>
      <c r="J26" s="95"/>
      <c r="K26" s="95"/>
      <c r="L26" s="95"/>
      <c r="M26" s="95"/>
      <c r="N26" s="95"/>
      <c r="O26" s="95"/>
      <c r="P26" s="41"/>
      <c r="Q26" s="98"/>
      <c r="R26" s="99"/>
      <c r="S26" s="100"/>
      <c r="T26" s="100"/>
      <c r="U26" s="95"/>
      <c r="Y26" s="95"/>
      <c r="Z26" s="95"/>
      <c r="AA26" s="95"/>
      <c r="AB26" s="95"/>
      <c r="AC26" s="95"/>
      <c r="AD26" s="100"/>
      <c r="AE26" s="101"/>
      <c r="AF26" s="95"/>
      <c r="AG26" s="96"/>
      <c r="AI26" s="95"/>
      <c r="AJ26" s="95"/>
      <c r="AK26" s="95"/>
      <c r="AL26" s="95"/>
    </row>
    <row r="27" spans="2:38" s="40" customFormat="1" ht="12.75">
      <c r="B27" s="97"/>
      <c r="C27" s="41"/>
      <c r="D27" s="41"/>
      <c r="E27" s="41"/>
      <c r="F27" s="41"/>
      <c r="G27" s="42"/>
      <c r="H27" s="42"/>
      <c r="I27" s="42"/>
      <c r="J27" s="95"/>
      <c r="K27" s="95"/>
      <c r="L27" s="95"/>
      <c r="M27" s="95"/>
      <c r="N27" s="95"/>
      <c r="O27" s="95"/>
      <c r="P27" s="41"/>
      <c r="Q27" s="98"/>
      <c r="R27" s="99"/>
      <c r="S27" s="100"/>
      <c r="T27" s="100"/>
      <c r="U27" s="95"/>
      <c r="Y27" s="95"/>
      <c r="Z27" s="95"/>
      <c r="AA27" s="95"/>
      <c r="AB27" s="95"/>
      <c r="AC27" s="95"/>
      <c r="AD27" s="100"/>
      <c r="AE27" s="101"/>
      <c r="AF27" s="95"/>
      <c r="AG27" s="96"/>
      <c r="AI27" s="95"/>
      <c r="AJ27" s="95"/>
      <c r="AK27" s="95"/>
      <c r="AL27" s="95"/>
    </row>
    <row r="28" spans="2:38" s="40" customFormat="1" ht="12.75">
      <c r="B28" s="97"/>
      <c r="C28" s="41"/>
      <c r="D28" s="41"/>
      <c r="E28" s="41"/>
      <c r="F28" s="41"/>
      <c r="G28" s="42"/>
      <c r="H28" s="42"/>
      <c r="I28" s="42"/>
      <c r="J28" s="95"/>
      <c r="K28" s="95"/>
      <c r="L28" s="95"/>
      <c r="M28" s="95"/>
      <c r="N28" s="95"/>
      <c r="O28" s="95"/>
      <c r="P28" s="41"/>
      <c r="Q28" s="98"/>
      <c r="R28" s="99"/>
      <c r="S28" s="100"/>
      <c r="T28" s="100"/>
      <c r="U28" s="95"/>
      <c r="Y28" s="95"/>
      <c r="Z28" s="95"/>
      <c r="AA28" s="95"/>
      <c r="AB28" s="95"/>
      <c r="AC28" s="95"/>
      <c r="AD28" s="100"/>
      <c r="AE28" s="101"/>
      <c r="AF28" s="95"/>
      <c r="AG28" s="96"/>
      <c r="AI28" s="95"/>
      <c r="AJ28" s="95"/>
      <c r="AK28" s="95"/>
      <c r="AL28" s="95"/>
    </row>
    <row r="29" spans="2:38" s="40" customFormat="1" ht="12.75">
      <c r="B29" s="97"/>
      <c r="C29" s="41"/>
      <c r="D29" s="41"/>
      <c r="E29" s="41"/>
      <c r="F29" s="41"/>
      <c r="G29" s="42"/>
      <c r="H29" s="42"/>
      <c r="I29" s="42"/>
      <c r="J29" s="95"/>
      <c r="K29" s="95"/>
      <c r="L29" s="95"/>
      <c r="M29" s="95"/>
      <c r="N29" s="95"/>
      <c r="O29" s="95"/>
      <c r="P29" s="41"/>
      <c r="Q29" s="98"/>
      <c r="R29" s="99"/>
      <c r="S29" s="100"/>
      <c r="T29" s="100"/>
      <c r="U29" s="95"/>
      <c r="Y29" s="95"/>
      <c r="Z29" s="95"/>
      <c r="AA29" s="95"/>
      <c r="AB29" s="95"/>
      <c r="AC29" s="95"/>
      <c r="AD29" s="100"/>
      <c r="AE29" s="101"/>
      <c r="AF29" s="95"/>
      <c r="AG29" s="96"/>
      <c r="AI29" s="95"/>
      <c r="AJ29" s="95"/>
      <c r="AK29" s="95"/>
      <c r="AL29" s="95"/>
    </row>
    <row r="30" spans="2:38" s="40" customFormat="1" ht="12.75">
      <c r="B30" s="97"/>
      <c r="C30" s="41"/>
      <c r="D30" s="41"/>
      <c r="E30" s="41"/>
      <c r="F30" s="41"/>
      <c r="G30" s="42"/>
      <c r="H30" s="42"/>
      <c r="I30" s="42"/>
      <c r="J30" s="95"/>
      <c r="K30" s="95"/>
      <c r="L30" s="95"/>
      <c r="M30" s="95"/>
      <c r="N30" s="95"/>
      <c r="O30" s="95"/>
      <c r="P30" s="41"/>
      <c r="Q30" s="98"/>
      <c r="R30" s="99"/>
      <c r="S30" s="100"/>
      <c r="T30" s="100"/>
      <c r="U30" s="95"/>
      <c r="Y30" s="95"/>
      <c r="Z30" s="95"/>
      <c r="AA30" s="95"/>
      <c r="AB30" s="95"/>
      <c r="AC30" s="95"/>
      <c r="AD30" s="100"/>
      <c r="AE30" s="101"/>
      <c r="AF30" s="95"/>
      <c r="AG30" s="96"/>
      <c r="AI30" s="95"/>
      <c r="AJ30" s="95"/>
      <c r="AK30" s="95"/>
      <c r="AL30" s="95"/>
    </row>
    <row r="31" spans="2:38" s="40" customFormat="1" ht="12.75">
      <c r="B31" s="97"/>
      <c r="C31" s="41"/>
      <c r="D31" s="41"/>
      <c r="E31" s="41"/>
      <c r="F31" s="41"/>
      <c r="G31" s="42"/>
      <c r="H31" s="42"/>
      <c r="I31" s="42"/>
      <c r="J31" s="95"/>
      <c r="K31" s="95"/>
      <c r="L31" s="95"/>
      <c r="M31" s="95"/>
      <c r="N31" s="95"/>
      <c r="O31" s="95"/>
      <c r="P31" s="41"/>
      <c r="Q31" s="98"/>
      <c r="R31" s="99"/>
      <c r="S31" s="100"/>
      <c r="T31" s="100"/>
      <c r="U31" s="95"/>
      <c r="Y31" s="95"/>
      <c r="Z31" s="95"/>
      <c r="AA31" s="95"/>
      <c r="AB31" s="95"/>
      <c r="AC31" s="95"/>
      <c r="AD31" s="100"/>
      <c r="AE31" s="101"/>
      <c r="AF31" s="95"/>
      <c r="AG31" s="96"/>
      <c r="AI31" s="95"/>
      <c r="AJ31" s="95"/>
      <c r="AK31" s="95"/>
      <c r="AL31" s="95"/>
    </row>
    <row r="32" spans="2:38" s="40" customFormat="1" ht="12.75">
      <c r="B32" s="97"/>
      <c r="C32" s="41"/>
      <c r="D32" s="41"/>
      <c r="E32" s="41"/>
      <c r="F32" s="41"/>
      <c r="G32" s="42"/>
      <c r="H32" s="42"/>
      <c r="I32" s="42"/>
      <c r="J32" s="95"/>
      <c r="K32" s="95"/>
      <c r="L32" s="95"/>
      <c r="M32" s="95"/>
      <c r="N32" s="95"/>
      <c r="O32" s="95"/>
      <c r="P32" s="41"/>
      <c r="Q32" s="98"/>
      <c r="R32" s="99"/>
      <c r="S32" s="100"/>
      <c r="T32" s="100"/>
      <c r="U32" s="95"/>
      <c r="Y32" s="95"/>
      <c r="Z32" s="95"/>
      <c r="AA32" s="95"/>
      <c r="AB32" s="95"/>
      <c r="AC32" s="95"/>
      <c r="AD32" s="100"/>
      <c r="AE32" s="101"/>
      <c r="AF32" s="95"/>
      <c r="AG32" s="96"/>
      <c r="AI32" s="95"/>
      <c r="AJ32" s="95"/>
      <c r="AK32" s="95"/>
      <c r="AL32" s="95"/>
    </row>
    <row r="33" spans="32:32">
      <c r="AF33" s="46"/>
    </row>
    <row r="34" spans="32:32">
      <c r="AF34" s="46"/>
    </row>
    <row r="35" spans="32:32">
      <c r="AF35" s="46"/>
    </row>
    <row r="36" spans="32:32">
      <c r="AF36" s="46"/>
    </row>
    <row r="37" spans="32:32">
      <c r="AF37" s="46"/>
    </row>
    <row r="38" spans="32:32">
      <c r="AF38" s="46"/>
    </row>
    <row r="39" spans="32:32">
      <c r="AF39" s="46"/>
    </row>
    <row r="40" spans="32:32">
      <c r="AF40" s="46"/>
    </row>
    <row r="41" spans="32:32">
      <c r="AF41" s="46"/>
    </row>
    <row r="42" spans="32:32">
      <c r="AF42" s="46"/>
    </row>
    <row r="43" spans="32:32">
      <c r="AF43" s="46"/>
    </row>
    <row r="44" spans="32:32">
      <c r="AF44" s="46"/>
    </row>
    <row r="45" spans="32:32">
      <c r="AF45" s="46"/>
    </row>
    <row r="46" spans="32:32">
      <c r="AF46" s="46"/>
    </row>
    <row r="47" spans="32:32">
      <c r="AF47" s="46"/>
    </row>
    <row r="48" spans="32:32">
      <c r="AF48" s="46"/>
    </row>
    <row r="49" spans="32:32">
      <c r="AF49" s="46"/>
    </row>
    <row r="50" spans="32:32">
      <c r="AF50" s="46"/>
    </row>
    <row r="51" spans="32:32">
      <c r="AF51" s="46"/>
    </row>
    <row r="52" spans="32:32">
      <c r="AF52" s="46"/>
    </row>
    <row r="53" spans="32:32">
      <c r="AF53" s="46"/>
    </row>
    <row r="54" spans="32:32">
      <c r="AF54" s="46"/>
    </row>
    <row r="55" spans="32:32">
      <c r="AF55" s="46"/>
    </row>
    <row r="56" spans="32:32">
      <c r="AF56" s="46"/>
    </row>
    <row r="57" spans="32:32">
      <c r="AF57" s="46"/>
    </row>
    <row r="58" spans="32:32">
      <c r="AF58" s="46"/>
    </row>
    <row r="59" spans="32:32">
      <c r="AF59" s="46"/>
    </row>
    <row r="60" spans="32:32">
      <c r="AF60" s="46"/>
    </row>
    <row r="61" spans="32:32">
      <c r="AF61" s="46"/>
    </row>
    <row r="62" spans="32:32">
      <c r="AF62" s="46"/>
    </row>
    <row r="63" spans="32:32">
      <c r="AF63" s="46"/>
    </row>
    <row r="64" spans="32:32">
      <c r="AF64" s="46"/>
    </row>
    <row r="65" spans="32:32">
      <c r="AF65" s="46"/>
    </row>
    <row r="66" spans="32:32">
      <c r="AF66" s="46"/>
    </row>
    <row r="67" spans="32:32">
      <c r="AF67" s="46"/>
    </row>
    <row r="68" spans="32:32">
      <c r="AF68" s="46"/>
    </row>
    <row r="69" spans="32:32">
      <c r="AF69" s="46"/>
    </row>
    <row r="70" spans="32:32">
      <c r="AF70" s="46"/>
    </row>
    <row r="71" spans="32:32">
      <c r="AF71" s="46"/>
    </row>
    <row r="72" spans="32:32">
      <c r="AF72" s="46"/>
    </row>
    <row r="73" spans="32:32">
      <c r="AF73" s="46"/>
    </row>
    <row r="74" spans="32:32">
      <c r="AF74" s="46"/>
    </row>
    <row r="75" spans="32:32">
      <c r="AF75" s="46"/>
    </row>
    <row r="76" spans="32:32">
      <c r="AF76" s="46"/>
    </row>
    <row r="77" spans="32:32">
      <c r="AF77" s="46"/>
    </row>
    <row r="78" spans="32:32">
      <c r="AF78" s="46"/>
    </row>
    <row r="79" spans="32:32">
      <c r="AF79" s="46"/>
    </row>
    <row r="80" spans="32:32">
      <c r="AF80" s="46"/>
    </row>
    <row r="81" spans="32:32">
      <c r="AF81" s="46"/>
    </row>
    <row r="82" spans="32:32">
      <c r="AF82" s="46"/>
    </row>
    <row r="83" spans="32:32">
      <c r="AF83" s="46"/>
    </row>
    <row r="84" spans="32:32">
      <c r="AF84" s="46"/>
    </row>
    <row r="85" spans="32:32">
      <c r="AF85" s="46"/>
    </row>
    <row r="86" spans="32:32">
      <c r="AF86" s="46"/>
    </row>
    <row r="87" spans="32:32">
      <c r="AF87" s="46"/>
    </row>
    <row r="88" spans="32:32">
      <c r="AF88" s="46"/>
    </row>
    <row r="89" spans="32:32">
      <c r="AF89" s="46"/>
    </row>
    <row r="90" spans="32:32">
      <c r="AF90" s="46"/>
    </row>
    <row r="91" spans="32:32">
      <c r="AF91" s="46"/>
    </row>
    <row r="92" spans="32:32">
      <c r="AF92" s="46"/>
    </row>
    <row r="93" spans="32:32">
      <c r="AF93" s="46"/>
    </row>
    <row r="94" spans="32:32">
      <c r="AF94" s="46"/>
    </row>
    <row r="95" spans="32:32">
      <c r="AF95" s="46"/>
    </row>
  </sheetData>
  <autoFilter ref="B9:AE20">
    <sortState ref="B12:X86">
      <sortCondition sortBy="cellColor" ref="O7:O86" dxfId="25"/>
    </sortState>
  </autoFilter>
  <dataConsolidate/>
  <mergeCells count="43">
    <mergeCell ref="AF7:AL7"/>
    <mergeCell ref="Q6:S6"/>
    <mergeCell ref="Q1:S1"/>
    <mergeCell ref="Q2:S2"/>
    <mergeCell ref="Q3:S3"/>
    <mergeCell ref="Q4:S4"/>
    <mergeCell ref="Q5:S5"/>
    <mergeCell ref="Y7:AE7"/>
    <mergeCell ref="P7:X7"/>
    <mergeCell ref="AG8:AG9"/>
    <mergeCell ref="AH8:AH9"/>
    <mergeCell ref="AI8:AI9"/>
    <mergeCell ref="AK8:AK9"/>
    <mergeCell ref="AJ8:AJ9"/>
    <mergeCell ref="AL8:AL9"/>
    <mergeCell ref="B7:B9"/>
    <mergeCell ref="C7:C9"/>
    <mergeCell ref="D7:D9"/>
    <mergeCell ref="E7:E9"/>
    <mergeCell ref="S8:S9"/>
    <mergeCell ref="R8:R9"/>
    <mergeCell ref="Q8:Q9"/>
    <mergeCell ref="P8:P9"/>
    <mergeCell ref="F7:O7"/>
    <mergeCell ref="K8:O8"/>
    <mergeCell ref="F8:F9"/>
    <mergeCell ref="G8:G9"/>
    <mergeCell ref="H8:H9"/>
    <mergeCell ref="I8:I9"/>
    <mergeCell ref="AF8:AF9"/>
    <mergeCell ref="J8:J9"/>
    <mergeCell ref="AE8:AE9"/>
    <mergeCell ref="AD8:AD9"/>
    <mergeCell ref="Y8:Y9"/>
    <mergeCell ref="Z8:Z9"/>
    <mergeCell ref="AA8:AA9"/>
    <mergeCell ref="AB8:AB9"/>
    <mergeCell ref="AC8:AC9"/>
    <mergeCell ref="U8:U9"/>
    <mergeCell ref="V8:V9"/>
    <mergeCell ref="W8:W9"/>
    <mergeCell ref="X8:X9"/>
    <mergeCell ref="T8:T9"/>
  </mergeCells>
  <conditionalFormatting sqref="O10:O20 AC10:AC20">
    <cfRule type="containsText" dxfId="24" priority="85" operator="containsText" text="DÜŞÜK RİSK">
      <formula>NOT(ISERROR(SEARCH("DÜŞÜK RİSK",O10)))</formula>
    </cfRule>
    <cfRule type="containsText" dxfId="23" priority="86" operator="containsText" text="OLASI RİSK">
      <formula>NOT(ISERROR(SEARCH("OLASI RİSK",O10)))</formula>
    </cfRule>
    <cfRule type="containsText" dxfId="22" priority="87" operator="containsText" text="ÖNEMLİ RİSK">
      <formula>NOT(ISERROR(SEARCH("ÖNEMLİ RİSK",O10)))</formula>
    </cfRule>
    <cfRule type="containsText" dxfId="21" priority="88" operator="containsText" text="YÜKSEK RİSK">
      <formula>NOT(ISERROR(SEARCH("YÜKSEK RİSK",O10)))</formula>
    </cfRule>
    <cfRule type="containsText" dxfId="20" priority="89" operator="containsText" text="TOLERE EDİLEMEZ RİSK">
      <formula>NOT(ISERROR(SEARCH("TOLERE EDİLEMEZ RİSK",O10)))</formula>
    </cfRule>
  </conditionalFormatting>
  <conditionalFormatting sqref="N10:N20 AB10:AB20">
    <cfRule type="cellIs" dxfId="19" priority="80" operator="lessThan">
      <formula>20</formula>
    </cfRule>
    <cfRule type="cellIs" dxfId="18" priority="81" operator="between">
      <formula>20</formula>
      <formula>69</formula>
    </cfRule>
    <cfRule type="cellIs" dxfId="17" priority="82" operator="between">
      <formula>70</formula>
      <formula>199</formula>
    </cfRule>
    <cfRule type="cellIs" dxfId="16" priority="83" operator="between">
      <formula>200</formula>
      <formula>399</formula>
    </cfRule>
    <cfRule type="cellIs" dxfId="15" priority="84" operator="greaterThanOrEqual">
      <formula>400</formula>
    </cfRule>
  </conditionalFormatting>
  <conditionalFormatting sqref="N10:N20 AB10:AB20">
    <cfRule type="cellIs" dxfId="14" priority="79" operator="equal">
      <formula>0</formula>
    </cfRule>
  </conditionalFormatting>
  <conditionalFormatting sqref="AE10:AE20">
    <cfRule type="containsText" dxfId="13" priority="138" operator="containsText" text="Tamamlanan">
      <formula>NOT(ISERROR(SEARCH("Tamamlanan",AE10)))</formula>
    </cfRule>
    <cfRule type="containsText" dxfId="12" priority="139" operator="containsText" text="Görüşülecek - Hedef tarih yok">
      <formula>NOT(ISERROR(SEARCH("Görüşülecek - Hedef tarih yok",AE10)))</formula>
    </cfRule>
    <cfRule type="containsText" dxfId="11" priority="140" operator="containsText" text="Hedef tarihi geçen">
      <formula>NOT(ISERROR(SEARCH("Hedef tarihi geçen",AE10)))</formula>
    </cfRule>
    <cfRule type="containsText" dxfId="10" priority="141" operator="containsText" text="Zaman var">
      <formula>NOT(ISERROR(SEARCH("Zaman var",AE10)))</formula>
    </cfRule>
  </conditionalFormatting>
  <conditionalFormatting sqref="AI8">
    <cfRule type="cellIs" dxfId="9" priority="34" operator="between">
      <formula>1</formula>
      <formula>4</formula>
    </cfRule>
    <cfRule type="cellIs" dxfId="8" priority="35" operator="between">
      <formula>5</formula>
      <formula>11</formula>
    </cfRule>
    <cfRule type="cellIs" dxfId="7" priority="36" operator="between">
      <formula>12</formula>
      <formula>19</formula>
    </cfRule>
    <cfRule type="cellIs" dxfId="6" priority="37" operator="between">
      <formula>20</formula>
      <formula>25</formula>
    </cfRule>
  </conditionalFormatting>
  <conditionalFormatting sqref="AI8">
    <cfRule type="cellIs" dxfId="5" priority="42" operator="between">
      <formula>1</formula>
      <formula>8</formula>
    </cfRule>
    <cfRule type="cellIs" dxfId="4" priority="43" operator="between">
      <formula>9</formula>
      <formula>15</formula>
    </cfRule>
  </conditionalFormatting>
  <conditionalFormatting sqref="AI8">
    <cfRule type="cellIs" dxfId="3" priority="40" operator="between">
      <formula>1</formula>
      <formula>8</formula>
    </cfRule>
    <cfRule type="cellIs" dxfId="2" priority="41" operator="between">
      <formula>9</formula>
      <formula>15</formula>
    </cfRule>
  </conditionalFormatting>
  <conditionalFormatting sqref="AI8">
    <cfRule type="cellIs" dxfId="1" priority="39" operator="between">
      <formula>16</formula>
      <formula>25</formula>
    </cfRule>
  </conditionalFormatting>
  <printOptions horizontalCentered="1" verticalCentered="1"/>
  <pageMargins left="0.51181102362204722" right="0.51181102362204722" top="0.74803149606299213" bottom="0.55118110236220474" header="0.31496062992125984" footer="0.31496062992125984"/>
  <pageSetup paperSize="9" scale="37" orientation="landscape" r:id="rId1"/>
  <headerFooter>
    <oddHeader>&amp;L&amp;G&amp;C&amp;"Arial,Kalın"&amp;12İSG RİSK VE FIRSAT DEĞERLENDİRME FORMU&amp;RSayfa &amp;P/&amp;N</oddHeader>
    <oddFooter>&amp;LFPOP-S210-01-03-V04</oddFooter>
  </headerFooter>
  <drawing r:id="rId2"/>
  <legacyDrawingHF r:id="rId3"/>
  <extLst>
    <ext xmlns:x14="http://schemas.microsoft.com/office/spreadsheetml/2009/9/main" uri="{78C0D931-6437-407d-A8EE-F0AAD7539E65}">
      <x14:conditionalFormattings>
        <x14:conditionalFormatting xmlns:xm="http://schemas.microsoft.com/office/excel/2006/main">
          <x14:cfRule type="containsText" priority="38" operator="containsText" id="{EC1D0829-3BA2-40D6-AB8A-31277D7BA724}">
            <xm:f>NOT(ISERROR(SEARCH("-",AI8)))</xm:f>
            <xm:f>"-"</xm:f>
            <x14:dxf>
              <font>
                <color rgb="FF9C0006"/>
              </font>
              <fill>
                <patternFill>
                  <bgColor rgb="FFFFC7CE"/>
                </patternFill>
              </fill>
            </x14:dxf>
          </x14:cfRule>
          <xm:sqref>AI8</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14:formula1>
            <xm:f>Sayfa1!$F$3:$F$7</xm:f>
          </x14:formula1>
          <xm:sqref>O10:O20 AC10:AC20</xm:sqref>
        </x14:dataValidation>
        <x14:dataValidation type="list" allowBlank="1" showInputMessage="1" showErrorMessage="1">
          <x14:formula1>
            <xm:f>Sayfa1!$E$3:$E$8</xm:f>
          </x14:formula1>
          <xm:sqref>M10:M20 AA10:AA20</xm:sqref>
        </x14:dataValidation>
        <x14:dataValidation type="list" allowBlank="1" showInputMessage="1" showErrorMessage="1">
          <x14:formula1>
            <xm:f>Sayfa1!$D$3:$D$8</xm:f>
          </x14:formula1>
          <xm:sqref>L10:L20 Z10:Z20</xm:sqref>
        </x14:dataValidation>
        <x14:dataValidation type="list" allowBlank="1" showInputMessage="1" showErrorMessage="1">
          <x14:formula1>
            <xm:f>Sayfa1!$C$3:$C$8</xm:f>
          </x14:formula1>
          <xm:sqref>K10:K20 Y10:Y20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2"/>
  <sheetViews>
    <sheetView workbookViewId="0">
      <selection activeCell="D20" sqref="D20"/>
    </sheetView>
  </sheetViews>
  <sheetFormatPr defaultRowHeight="12.75"/>
  <cols>
    <col min="1" max="1" width="13.7109375" customWidth="1"/>
    <col min="2" max="2" width="27" customWidth="1"/>
    <col min="3" max="3" width="14.5703125" customWidth="1"/>
    <col min="4" max="4" width="17.85546875" customWidth="1"/>
    <col min="5" max="5" width="12.5703125" customWidth="1"/>
    <col min="6" max="6" width="22.28515625" customWidth="1"/>
    <col min="7" max="7" width="19.42578125" customWidth="1"/>
    <col min="8" max="8" width="13.5703125" customWidth="1"/>
    <col min="9" max="9" width="19.42578125" style="73" customWidth="1"/>
    <col min="10" max="10" width="28.5703125" customWidth="1"/>
    <col min="11" max="11" width="21.42578125" customWidth="1"/>
  </cols>
  <sheetData>
    <row r="2" spans="2:12" ht="15.75" customHeight="1">
      <c r="B2" s="52" t="s">
        <v>42</v>
      </c>
      <c r="C2" s="52" t="s">
        <v>77</v>
      </c>
      <c r="D2" s="52" t="s">
        <v>78</v>
      </c>
      <c r="E2" s="52" t="s">
        <v>79</v>
      </c>
      <c r="F2" s="52" t="s">
        <v>81</v>
      </c>
      <c r="G2" s="52" t="s">
        <v>82</v>
      </c>
      <c r="I2" s="74" t="s">
        <v>83</v>
      </c>
      <c r="J2" s="1" t="s">
        <v>23</v>
      </c>
      <c r="K2" s="75" t="s">
        <v>25</v>
      </c>
      <c r="L2" s="75">
        <v>7</v>
      </c>
    </row>
    <row r="3" spans="2:12" ht="18.75" customHeight="1">
      <c r="B3" s="51" t="s">
        <v>52</v>
      </c>
      <c r="C3" s="50">
        <v>10</v>
      </c>
      <c r="D3" s="50">
        <v>10</v>
      </c>
      <c r="E3" s="50">
        <v>100</v>
      </c>
      <c r="F3" s="50" t="s">
        <v>23</v>
      </c>
      <c r="G3" s="50" t="s">
        <v>25</v>
      </c>
      <c r="I3" s="74" t="s">
        <v>85</v>
      </c>
      <c r="J3" s="1" t="s">
        <v>27</v>
      </c>
      <c r="K3" s="75" t="s">
        <v>29</v>
      </c>
      <c r="L3" s="75">
        <v>30</v>
      </c>
    </row>
    <row r="4" spans="2:12" ht="15" customHeight="1">
      <c r="B4" s="51" t="s">
        <v>53</v>
      </c>
      <c r="C4" s="50">
        <v>6</v>
      </c>
      <c r="D4" s="50">
        <v>6</v>
      </c>
      <c r="E4" s="50">
        <v>40</v>
      </c>
      <c r="F4" s="50" t="s">
        <v>27</v>
      </c>
      <c r="G4" s="50" t="s">
        <v>29</v>
      </c>
      <c r="I4" s="74" t="s">
        <v>86</v>
      </c>
      <c r="J4" s="1" t="s">
        <v>31</v>
      </c>
      <c r="K4" s="75" t="s">
        <v>33</v>
      </c>
      <c r="L4" s="75">
        <v>180</v>
      </c>
    </row>
    <row r="5" spans="2:12" ht="15" customHeight="1">
      <c r="B5" s="51" t="s">
        <v>46</v>
      </c>
      <c r="C5" s="50">
        <v>3</v>
      </c>
      <c r="D5" s="50">
        <v>3</v>
      </c>
      <c r="E5" s="50">
        <v>15</v>
      </c>
      <c r="F5" s="50" t="s">
        <v>31</v>
      </c>
      <c r="G5" s="50" t="s">
        <v>33</v>
      </c>
      <c r="I5" s="74" t="s">
        <v>87</v>
      </c>
      <c r="J5" s="1" t="s">
        <v>35</v>
      </c>
      <c r="K5" s="75" t="s">
        <v>37</v>
      </c>
      <c r="L5" s="75">
        <v>365</v>
      </c>
    </row>
    <row r="6" spans="2:12" ht="15" customHeight="1">
      <c r="B6" s="51" t="s">
        <v>45</v>
      </c>
      <c r="C6" s="50">
        <v>1</v>
      </c>
      <c r="D6" s="50">
        <v>2</v>
      </c>
      <c r="E6" s="50">
        <v>7</v>
      </c>
      <c r="F6" s="50" t="s">
        <v>35</v>
      </c>
      <c r="G6" s="50" t="s">
        <v>37</v>
      </c>
      <c r="I6" s="74" t="s">
        <v>88</v>
      </c>
      <c r="J6" s="1" t="s">
        <v>39</v>
      </c>
      <c r="K6" s="75" t="s">
        <v>41</v>
      </c>
      <c r="L6" s="75" t="s">
        <v>84</v>
      </c>
    </row>
    <row r="7" spans="2:12" ht="15" customHeight="1">
      <c r="B7" s="51" t="s">
        <v>44</v>
      </c>
      <c r="C7" s="50">
        <v>0.5</v>
      </c>
      <c r="D7" s="50">
        <v>1</v>
      </c>
      <c r="E7" s="50">
        <v>3</v>
      </c>
      <c r="F7" s="50" t="s">
        <v>39</v>
      </c>
      <c r="G7" s="50" t="s">
        <v>41</v>
      </c>
      <c r="I7" s="72"/>
    </row>
    <row r="8" spans="2:12" ht="15" customHeight="1">
      <c r="B8" s="51" t="s">
        <v>43</v>
      </c>
      <c r="C8" s="50">
        <v>0.2</v>
      </c>
      <c r="D8" s="50">
        <v>0.5</v>
      </c>
      <c r="E8" s="50">
        <v>1</v>
      </c>
      <c r="F8" s="71"/>
      <c r="G8" s="71"/>
      <c r="I8" s="71"/>
    </row>
    <row r="9" spans="2:12">
      <c r="B9" s="51" t="s">
        <v>47</v>
      </c>
    </row>
    <row r="10" spans="2:12">
      <c r="B10" s="51" t="s">
        <v>48</v>
      </c>
    </row>
    <row r="11" spans="2:12">
      <c r="B11" s="51" t="s">
        <v>49</v>
      </c>
    </row>
    <row r="12" spans="2:12" ht="18.75" customHeight="1">
      <c r="B12" s="51" t="s">
        <v>50</v>
      </c>
    </row>
    <row r="13" spans="2:12">
      <c r="B13" s="51" t="s">
        <v>51</v>
      </c>
    </row>
    <row r="14" spans="2:12">
      <c r="B14" s="51" t="s">
        <v>89</v>
      </c>
    </row>
    <row r="15" spans="2:12">
      <c r="B15" s="51"/>
    </row>
    <row r="16" spans="2:12">
      <c r="B16" s="51"/>
    </row>
    <row r="17" spans="2:2">
      <c r="B17" s="51"/>
    </row>
    <row r="18" spans="2:2">
      <c r="B18" s="51"/>
    </row>
    <row r="19" spans="2:2">
      <c r="B19" s="51"/>
    </row>
    <row r="20" spans="2:2">
      <c r="B20" s="51"/>
    </row>
    <row r="21" spans="2:2">
      <c r="B21" s="51"/>
    </row>
    <row r="22" spans="2:2">
      <c r="B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3</vt:i4>
      </vt:variant>
    </vt:vector>
  </HeadingPairs>
  <TitlesOfParts>
    <vt:vector size="6" baseType="lpstr">
      <vt:lpstr>RD VE FD-KAPAK</vt:lpstr>
      <vt:lpstr>İSG Risk ve Fırsat Değ.</vt:lpstr>
      <vt:lpstr>Sayfa1</vt:lpstr>
      <vt:lpstr>'İSG Risk ve Fırsat Değ.'!Yazdırma_Alanı</vt:lpstr>
      <vt:lpstr>'RD VE FD-KAPAK'!Yazdırma_Alanı</vt:lpstr>
      <vt:lpstr>'İSG Risk ve Fırsat Değ.'!Yazdırma_Başlıkları</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UZ KAYMAKCI</dc:creator>
  <cp:lastModifiedBy>Çiğdem AKSU</cp:lastModifiedBy>
  <cp:lastPrinted>2022-07-01T07:58:33Z</cp:lastPrinted>
  <dcterms:created xsi:type="dcterms:W3CDTF">2018-03-12T11:39:58Z</dcterms:created>
  <dcterms:modified xsi:type="dcterms:W3CDTF">2022-07-01T07:58:41Z</dcterms:modified>
</cp:coreProperties>
</file>